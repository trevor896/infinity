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evo\Documents\Github Projects\Portfolio\docs\assets\Projects\Analytics\"/>
    </mc:Choice>
  </mc:AlternateContent>
  <xr:revisionPtr revIDLastSave="0" documentId="8_{8EA19BA3-93CD-4CF4-B3E0-F092804FE9C1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Insurance Buyers" sheetId="1" r:id="rId1"/>
    <sheet name="working sheet" sheetId="6" r:id="rId2"/>
    <sheet name="pivot tables" sheetId="7" r:id="rId3"/>
    <sheet name="processing" sheetId="9" r:id="rId4"/>
    <sheet name="dashboard" sheetId="4" r:id="rId5"/>
    <sheet name="colors" sheetId="8" r:id="rId6"/>
  </sheets>
  <definedNames>
    <definedName name="_xlnm._FilterDatabase" localSheetId="0" hidden="1">'Insurance Buyers'!$A$1:$M$1001</definedName>
    <definedName name="_xlnm._FilterDatabase" localSheetId="1" hidden="1">'working sheet'!$K$1:$K$1001</definedName>
    <definedName name="_xlchart.v1.0" hidden="1">processing!$E$8:$E$10</definedName>
    <definedName name="_xlchart.v1.1" hidden="1">processing!$F$7</definedName>
    <definedName name="_xlchart.v1.10" hidden="1">processing!$A$18:$A$22</definedName>
    <definedName name="_xlchart.v1.11" hidden="1">processing!$B$17</definedName>
    <definedName name="_xlchart.v1.12" hidden="1">processing!$B$18:$B$22</definedName>
    <definedName name="_xlchart.v1.13" hidden="1">processing!$A$18:$A$22</definedName>
    <definedName name="_xlchart.v1.14" hidden="1">processing!$B$17</definedName>
    <definedName name="_xlchart.v1.15" hidden="1">processing!$B$18:$B$22</definedName>
    <definedName name="_xlchart.v1.16" hidden="1">processing!$A$18:$A$22</definedName>
    <definedName name="_xlchart.v1.17" hidden="1">processing!$B$17</definedName>
    <definedName name="_xlchart.v1.18" hidden="1">processing!$B$18:$B$22</definedName>
    <definedName name="_xlchart.v1.2" hidden="1">processing!$F$8:$F$10</definedName>
    <definedName name="_xlchart.v1.3" hidden="1">processing!$G$7</definedName>
    <definedName name="_xlchart.v1.4" hidden="1">processing!$G$8:$G$10</definedName>
    <definedName name="_xlchart.v1.5" hidden="1">processing!$E$8:$E$10</definedName>
    <definedName name="_xlchart.v1.6" hidden="1">processing!$F$7</definedName>
    <definedName name="_xlchart.v1.7" hidden="1">processing!$F$8:$F$10</definedName>
    <definedName name="_xlchart.v1.8" hidden="1">processing!$G$7</definedName>
    <definedName name="_xlchart.v1.9" hidden="1">processing!$G$8:$G$10</definedName>
  </definedNames>
  <calcPr calcId="181029"/>
  <pivotCaches>
    <pivotCache cacheId="2" r:id="rId7"/>
    <pivotCache cacheId="1" r:id="rId8"/>
  </pivotCaches>
</workbook>
</file>

<file path=xl/calcChain.xml><?xml version="1.0" encoding="utf-8"?>
<calcChain xmlns="http://schemas.openxmlformats.org/spreadsheetml/2006/main">
  <c r="F20" i="9" l="1"/>
  <c r="F19" i="9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  <c r="F16" i="9"/>
  <c r="F15" i="9"/>
  <c r="F14" i="9"/>
  <c r="G10" i="9"/>
  <c r="G9" i="9"/>
  <c r="G8" i="9"/>
  <c r="F10" i="9"/>
  <c r="F9" i="9"/>
  <c r="F8" i="9"/>
  <c r="F4" i="9"/>
  <c r="F3" i="9"/>
  <c r="F2" i="9"/>
  <c r="B22" i="9"/>
  <c r="B21" i="9"/>
  <c r="B20" i="9"/>
  <c r="B19" i="9"/>
  <c r="B18" i="9"/>
  <c r="B8" i="9"/>
  <c r="B7" i="9"/>
  <c r="B6" i="9"/>
  <c r="B14" i="9"/>
  <c r="B15" i="9"/>
  <c r="B13" i="9"/>
  <c r="B12" i="9"/>
  <c r="B11" i="9"/>
  <c r="B26" i="9"/>
  <c r="B25" i="9"/>
  <c r="B3" i="9"/>
  <c r="B2" i="9"/>
</calcChain>
</file>

<file path=xl/sharedStrings.xml><?xml version="1.0" encoding="utf-8"?>
<sst xmlns="http://schemas.openxmlformats.org/spreadsheetml/2006/main" count="16357" uniqueCount="88">
  <si>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</si>
  <si>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</si>
  <si>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</si>
  <si>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</si>
  <si>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</si>
  <si>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</si>
  <si>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</si>
  <si>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</si>
  <si>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</si>
  <si>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</si>
  <si>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</si>
  <si>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</si>
  <si>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</si>
  <si>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</si>
  <si>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</si>
  <si>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</si>
  <si>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</si>
  <si>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</si>
  <si>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</si>
  <si>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</si>
  <si>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</si>
  <si>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</si>
  <si>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</si>
  <si>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</si>
  <si>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</si>
  <si>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</si>
  <si>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</si>
  <si>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</si>
  <si>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</si>
  <si>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</si>
  <si>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</si>
  <si>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</si>
  <si>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</si>
  <si>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</si>
  <si>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</si>
  <si>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</si>
  <si>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</si>
  <si>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</si>
  <si>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</si>
  <si>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</si>
  <si>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Row Labels</t>
  </si>
  <si>
    <t>Grand Total</t>
  </si>
  <si>
    <t>PolicyHolder ID</t>
  </si>
  <si>
    <t>Marital Status(Risk factor)</t>
  </si>
  <si>
    <t>Dependent</t>
  </si>
  <si>
    <t>Assets Owned(Cars)</t>
  </si>
  <si>
    <t>Purchased insurance</t>
  </si>
  <si>
    <t>Home Ownership status</t>
  </si>
  <si>
    <t>Occupation(Risk class)</t>
  </si>
  <si>
    <t>Education level</t>
  </si>
  <si>
    <t>Age(Risk factor)</t>
  </si>
  <si>
    <t>Adolescent</t>
  </si>
  <si>
    <t>Middle Age</t>
  </si>
  <si>
    <t>Old</t>
  </si>
  <si>
    <t>Count of Purchased insurance</t>
  </si>
  <si>
    <t>3FA48E</t>
  </si>
  <si>
    <t>49AA91</t>
  </si>
  <si>
    <t>73C3AE</t>
  </si>
  <si>
    <t>9FE1D8</t>
  </si>
  <si>
    <t>70D2C3</t>
  </si>
  <si>
    <t>329E8F</t>
  </si>
  <si>
    <t>C2F1C8</t>
  </si>
  <si>
    <t>00C9AD</t>
  </si>
  <si>
    <t>95B1AF</t>
  </si>
  <si>
    <t>2C78A7</t>
  </si>
  <si>
    <t>CE2C35</t>
  </si>
  <si>
    <t>FA7E31</t>
  </si>
  <si>
    <t>9482D7</t>
  </si>
  <si>
    <t>F181F2</t>
  </si>
  <si>
    <t>Line</t>
  </si>
  <si>
    <t>line</t>
  </si>
  <si>
    <t>067D70</t>
  </si>
  <si>
    <t>Count of Home Ownership status</t>
  </si>
  <si>
    <t>Sum of Assets Owned(Cars)</t>
  </si>
  <si>
    <t>Sum of Income</t>
  </si>
  <si>
    <t>Middle age</t>
  </si>
  <si>
    <t>Old age</t>
  </si>
  <si>
    <t>Skilled manual</t>
  </si>
  <si>
    <t>Graduate degree</t>
  </si>
  <si>
    <t>Partial college</t>
  </si>
  <si>
    <t>Partial high school</t>
  </si>
  <si>
    <t>Purchased Insurance</t>
  </si>
  <si>
    <t>purchased insurance</t>
  </si>
  <si>
    <t>Sum of Dependent</t>
  </si>
  <si>
    <t>Assets owned</t>
  </si>
  <si>
    <t>Percentage</t>
  </si>
  <si>
    <t>Average of Income</t>
  </si>
  <si>
    <t>Average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</si>
</sst>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US$&quot;* #,##0.00_-;\-&quot;US$&quot;* #,##0.00_-;_-&quot;US$&quot;* &quot;-&quot;??_-;_-@_-"/>
    <numFmt numFmtId="164" formatCode="&quot;$&quot;#,##0.00"/>
    <numFmt numFmtId="165" formatCode="&quot;US$&quot;#,##0"/>
    <numFmt numFmtId="166" formatCode="0.00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9AA91"/>
      <name val="Calibri"/>
      <family val="2"/>
      <scheme val="minor"/>
    </font>
    <font>
      <sz val="11"/>
      <color rgb="FF067D70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67D70"/>
        <bgColor indexed="64"/>
      </patternFill>
    </fill>
    <fill>
      <patternFill patternType="solid">
        <fgColor rgb="FF249987"/>
        <bgColor indexed="64"/>
      </patternFill>
    </fill>
    <fill>
      <patternFill patternType="solid">
        <fgColor rgb="FF49AA91"/>
        <bgColor indexed="64"/>
      </patternFill>
    </fill>
    <fill>
      <patternFill patternType="solid">
        <fgColor rgb="FF3FA48E"/>
        <bgColor indexed="64"/>
      </patternFill>
    </fill>
    <fill>
      <patternFill patternType="solid">
        <fgColor rgb="FF73C3AE"/>
        <bgColor indexed="64"/>
      </patternFill>
    </fill>
    <fill>
      <patternFill patternType="solid">
        <fgColor rgb="FF068275"/>
        <bgColor indexed="64"/>
      </patternFill>
    </fill>
    <fill>
      <patternFill patternType="solid">
        <fgColor rgb="FF066966"/>
        <bgColor indexed="64"/>
      </patternFill>
    </fill>
    <fill>
      <patternFill patternType="solid">
        <fgColor rgb="FF9FE1D8"/>
        <bgColor indexed="64"/>
      </patternFill>
    </fill>
    <fill>
      <patternFill patternType="solid">
        <fgColor rgb="FF70D2C3"/>
        <bgColor indexed="64"/>
      </patternFill>
    </fill>
    <fill>
      <patternFill patternType="solid">
        <fgColor rgb="FF329E8F"/>
        <bgColor indexed="64"/>
      </patternFill>
    </fill>
    <fill>
      <patternFill patternType="solid">
        <fgColor rgb="FFC2F1C8"/>
        <bgColor indexed="64"/>
      </patternFill>
    </fill>
    <fill>
      <patternFill patternType="solid">
        <fgColor rgb="FF00C9AD"/>
        <bgColor indexed="64"/>
      </patternFill>
    </fill>
    <fill>
      <patternFill patternType="solid">
        <fgColor rgb="FF95B1AF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2C78A7"/>
        <bgColor indexed="64"/>
      </patternFill>
    </fill>
    <fill>
      <patternFill patternType="solid">
        <fgColor rgb="FF2C8377"/>
        <bgColor indexed="64"/>
      </patternFill>
    </fill>
    <fill>
      <patternFill patternType="solid">
        <fgColor rgb="FFCE2C35"/>
        <bgColor indexed="64"/>
      </patternFill>
    </fill>
    <fill>
      <patternFill patternType="solid">
        <fgColor rgb="FFFA7E31"/>
        <bgColor indexed="64"/>
      </patternFill>
    </fill>
    <fill>
      <patternFill patternType="solid">
        <fgColor rgb="FFF99699"/>
        <bgColor indexed="64"/>
      </patternFill>
    </fill>
    <fill>
      <patternFill patternType="solid">
        <fgColor rgb="FF9482D7"/>
        <bgColor indexed="64"/>
      </patternFill>
    </fill>
    <fill>
      <patternFill patternType="solid">
        <fgColor rgb="FFF181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42" applyNumberFormat="1" applyFont="1"/>
    <xf numFmtId="166" fontId="0" fillId="0" borderId="0" xfId="43" applyNumberFormat="1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16" fillId="0" borderId="0" xfId="0" applyFont="1"/>
    <xf numFmtId="9" fontId="0" fillId="0" borderId="0" xfId="43" applyFont="1"/>
    <xf numFmtId="0" fontId="19" fillId="33" borderId="0" xfId="0" applyFont="1" applyFill="1"/>
    <xf numFmtId="165" fontId="20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0D2C3"/>
      <color rgb="FF066966"/>
      <color rgb="FFF181F2"/>
      <color rgb="FF49AA91"/>
      <color rgb="FF9482D7"/>
      <color rgb="FF249987"/>
      <color rgb="FF00C9AD"/>
      <color rgb="FF73C3AE"/>
      <color rgb="FF067D70"/>
      <color rgb="FF3FA4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66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FC-4DC6-B792-89421B969254}"/>
              </c:ext>
            </c:extLst>
          </c:dPt>
          <c:dPt>
            <c:idx val="1"/>
            <c:bubble3D val="0"/>
            <c:spPr>
              <a:solidFill>
                <a:srgbClr val="49AA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FC-4DC6-B792-89421B969254}"/>
              </c:ext>
            </c:extLst>
          </c:dPt>
          <c:dLbls>
            <c:delete val="1"/>
          </c:dLbls>
          <c:cat>
            <c:strRef>
              <c:f>processing!$E$19:$E$20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processing!$F$19:$F$20</c:f>
              <c:numCache>
                <c:formatCode>0%</c:formatCode>
                <c:ptCount val="2"/>
                <c:pt idx="0">
                  <c:v>0.51900000000000002</c:v>
                </c:pt>
                <c:pt idx="1">
                  <c:v>0.48099999999999998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FC-4DC6-B792-89421B9692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processing!$F$7</c:f>
              <c:strCache>
                <c:ptCount val="1"/>
                <c:pt idx="0">
                  <c:v>Dependent</c:v>
                </c:pt>
              </c:strCache>
            </c:strRef>
          </c:tx>
          <c:spPr>
            <a:solidFill>
              <a:srgbClr val="00C9AD"/>
            </a:solidFill>
            <a:ln>
              <a:solidFill>
                <a:srgbClr val="9482D7"/>
              </a:solidFill>
            </a:ln>
            <a:effectLst/>
          </c:spPr>
          <c:invertIfNegative val="0"/>
          <c:cat>
            <c:strRef>
              <c:f>processing!$E$8:$E$10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processing!$F$8:$F$10</c:f>
              <c:numCache>
                <c:formatCode>General</c:formatCode>
                <c:ptCount val="3"/>
                <c:pt idx="0">
                  <c:v>25</c:v>
                </c:pt>
                <c:pt idx="1">
                  <c:v>1289</c:v>
                </c:pt>
                <c:pt idx="2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4-4AA1-8764-F7494CE3A2ED}"/>
            </c:ext>
          </c:extLst>
        </c:ser>
        <c:ser>
          <c:idx val="1"/>
          <c:order val="1"/>
          <c:tx>
            <c:strRef>
              <c:f>processing!$G$7</c:f>
              <c:strCache>
                <c:ptCount val="1"/>
                <c:pt idx="0">
                  <c:v>purchased insurance</c:v>
                </c:pt>
              </c:strCache>
            </c:strRef>
          </c:tx>
          <c:spPr>
            <a:solidFill>
              <a:srgbClr val="066966"/>
            </a:solidFill>
            <a:ln>
              <a:solidFill>
                <a:srgbClr val="F181F2"/>
              </a:solidFill>
            </a:ln>
            <a:effectLst/>
          </c:spPr>
          <c:invertIfNegative val="0"/>
          <c:trendline>
            <c:spPr>
              <a:ln w="19050" cap="rnd">
                <a:solidFill>
                  <a:srgbClr val="73C3AE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processing!$E$8:$E$10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processing!$G$8:$G$10</c:f>
              <c:numCache>
                <c:formatCode>General</c:formatCode>
                <c:ptCount val="3"/>
                <c:pt idx="0">
                  <c:v>110</c:v>
                </c:pt>
                <c:pt idx="1">
                  <c:v>701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4-4AA1-8764-F7494CE3A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881951"/>
        <c:axId val="1718144655"/>
      </c:barChart>
      <c:catAx>
        <c:axId val="186188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44655"/>
        <c:crosses val="autoZero"/>
        <c:auto val="1"/>
        <c:lblAlgn val="ctr"/>
        <c:lblOffset val="100"/>
        <c:noMultiLvlLbl val="0"/>
      </c:catAx>
      <c:valAx>
        <c:axId val="1718144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188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outerShdw blurRad="508000" dist="38100" sx="102000" sy="102000" algn="ctr" rotWithShape="0">
        <a:srgbClr val="00C9AD">
          <a:alpha val="3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70D2C3"/>
                </a:solidFill>
              </a:rPr>
              <a:t>Purchased Insurance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processing!$F$1</c:f>
              <c:strCache>
                <c:ptCount val="1"/>
                <c:pt idx="0">
                  <c:v>Purchased Insurance</c:v>
                </c:pt>
              </c:strCache>
            </c:strRef>
          </c:tx>
          <c:dPt>
            <c:idx val="0"/>
            <c:bubble3D val="0"/>
            <c:spPr>
              <a:solidFill>
                <a:srgbClr val="49AA91"/>
              </a:solidFill>
              <a:ln w="19050">
                <a:solidFill>
                  <a:srgbClr val="70D2C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71-40F5-B65F-AE24D6CA1555}"/>
              </c:ext>
            </c:extLst>
          </c:dPt>
          <c:dPt>
            <c:idx val="1"/>
            <c:bubble3D val="0"/>
            <c:spPr>
              <a:solidFill>
                <a:srgbClr val="00C9AD"/>
              </a:solidFill>
              <a:ln w="19050">
                <a:solidFill>
                  <a:srgbClr val="00C9A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71-40F5-B65F-AE24D6CA1555}"/>
              </c:ext>
            </c:extLst>
          </c:dPt>
          <c:dPt>
            <c:idx val="2"/>
            <c:bubble3D val="0"/>
            <c:spPr>
              <a:solidFill>
                <a:srgbClr val="066966"/>
              </a:solidFill>
              <a:ln w="19050">
                <a:solidFill>
                  <a:srgbClr val="0669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71-40F5-B65F-AE24D6CA1555}"/>
              </c:ext>
            </c:extLst>
          </c:dPt>
          <c:cat>
            <c:strRef>
              <c:f>processing!$E$2:$E$4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processing!$F$2:$F$4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71-40F5-B65F-AE24D6CA1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58800" sx="102000" sy="102000" algn="ctr" rotWithShape="0">
        <a:srgbClr val="00C9AD">
          <a:alpha val="3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7</xdr:row>
      <xdr:rowOff>146050</xdr:rowOff>
    </xdr:from>
    <xdr:to>
      <xdr:col>5</xdr:col>
      <xdr:colOff>495300</xdr:colOff>
      <xdr:row>24</xdr:row>
      <xdr:rowOff>31750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A776B15E-4731-2791-D165-3413F2FBABA9}"/>
            </a:ext>
          </a:extLst>
        </xdr:cNvPr>
        <xdr:cNvSpPr/>
      </xdr:nvSpPr>
      <xdr:spPr>
        <a:xfrm flipV="1">
          <a:off x="6350" y="1435100"/>
          <a:ext cx="3536950" cy="3016250"/>
        </a:xfrm>
        <a:custGeom>
          <a:avLst/>
          <a:gdLst>
            <a:gd name="csX0" fmla="*/ 0 w 1306800"/>
            <a:gd name="csY0" fmla="*/ 1406874 h 1406874"/>
            <a:gd name="csX1" fmla="*/ 0 w 1306800"/>
            <a:gd name="csY1" fmla="*/ 20874 h 1406874"/>
            <a:gd name="csX2" fmla="*/ 679450 w 1306800"/>
            <a:gd name="csY2" fmla="*/ 702024 h 1406874"/>
            <a:gd name="csX3" fmla="*/ 1306800 w 1306800"/>
            <a:gd name="csY3" fmla="*/ 1406874 h 1406874"/>
            <a:gd name="csX4" fmla="*/ 0 w 1306800"/>
            <a:gd name="csY4" fmla="*/ 1406874 h 140687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306800" h="1406874">
              <a:moveTo>
                <a:pt x="0" y="1406874"/>
              </a:moveTo>
              <a:lnTo>
                <a:pt x="0" y="20874"/>
              </a:lnTo>
              <a:cubicBezTo>
                <a:pt x="238125" y="-117768"/>
                <a:pt x="461650" y="471024"/>
                <a:pt x="679450" y="702024"/>
              </a:cubicBezTo>
              <a:cubicBezTo>
                <a:pt x="897250" y="933024"/>
                <a:pt x="1297275" y="1033282"/>
                <a:pt x="1306800" y="1406874"/>
              </a:cubicBezTo>
              <a:lnTo>
                <a:pt x="0" y="1406874"/>
              </a:lnTo>
              <a:close/>
            </a:path>
          </a:pathLst>
        </a:custGeom>
        <a:solidFill>
          <a:srgbClr val="249987"/>
        </a:solidFill>
        <a:ln w="12700">
          <a:solidFill>
            <a:srgbClr val="73C3A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0</xdr:col>
      <xdr:colOff>0</xdr:colOff>
      <xdr:row>7</xdr:row>
      <xdr:rowOff>158750</xdr:rowOff>
    </xdr:from>
    <xdr:to>
      <xdr:col>4</xdr:col>
      <xdr:colOff>82550</xdr:colOff>
      <xdr:row>20</xdr:row>
      <xdr:rowOff>82550</xdr:rowOff>
    </xdr:to>
    <xdr:sp macro="" textlink="">
      <xdr:nvSpPr>
        <xdr:cNvPr id="3" name="Right Triangle 1">
          <a:extLst>
            <a:ext uri="{FF2B5EF4-FFF2-40B4-BE49-F238E27FC236}">
              <a16:creationId xmlns:a16="http://schemas.microsoft.com/office/drawing/2014/main" id="{E543DF63-2CE2-1ED8-9AC0-97A7E474521C}"/>
            </a:ext>
          </a:extLst>
        </xdr:cNvPr>
        <xdr:cNvSpPr/>
      </xdr:nvSpPr>
      <xdr:spPr>
        <a:xfrm flipV="1">
          <a:off x="0" y="1447800"/>
          <a:ext cx="2520950" cy="2317750"/>
        </a:xfrm>
        <a:custGeom>
          <a:avLst/>
          <a:gdLst>
            <a:gd name="csX0" fmla="*/ 0 w 1306800"/>
            <a:gd name="csY0" fmla="*/ 1406874 h 1406874"/>
            <a:gd name="csX1" fmla="*/ 0 w 1306800"/>
            <a:gd name="csY1" fmla="*/ 20874 h 1406874"/>
            <a:gd name="csX2" fmla="*/ 679450 w 1306800"/>
            <a:gd name="csY2" fmla="*/ 702024 h 1406874"/>
            <a:gd name="csX3" fmla="*/ 1306800 w 1306800"/>
            <a:gd name="csY3" fmla="*/ 1406874 h 1406874"/>
            <a:gd name="csX4" fmla="*/ 0 w 1306800"/>
            <a:gd name="csY4" fmla="*/ 1406874 h 140687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306800" h="1406874">
              <a:moveTo>
                <a:pt x="0" y="1406874"/>
              </a:moveTo>
              <a:lnTo>
                <a:pt x="0" y="20874"/>
              </a:lnTo>
              <a:cubicBezTo>
                <a:pt x="238125" y="-117768"/>
                <a:pt x="461650" y="471024"/>
                <a:pt x="679450" y="702024"/>
              </a:cubicBezTo>
              <a:cubicBezTo>
                <a:pt x="897250" y="933024"/>
                <a:pt x="1297275" y="1033282"/>
                <a:pt x="1306800" y="1406874"/>
              </a:cubicBezTo>
              <a:lnTo>
                <a:pt x="0" y="1406874"/>
              </a:lnTo>
              <a:close/>
            </a:path>
          </a:pathLst>
        </a:custGeom>
        <a:solidFill>
          <a:srgbClr val="3FA48E"/>
        </a:solidFill>
        <a:ln w="12700">
          <a:solidFill>
            <a:srgbClr val="73C3A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0</xdr:col>
      <xdr:colOff>0</xdr:colOff>
      <xdr:row>7</xdr:row>
      <xdr:rowOff>171450</xdr:rowOff>
    </xdr:from>
    <xdr:to>
      <xdr:col>2</xdr:col>
      <xdr:colOff>425450</xdr:colOff>
      <xdr:row>14</xdr:row>
      <xdr:rowOff>146050</xdr:rowOff>
    </xdr:to>
    <xdr:sp macro="" textlink="">
      <xdr:nvSpPr>
        <xdr:cNvPr id="4" name="Right Triangle 1">
          <a:extLst>
            <a:ext uri="{FF2B5EF4-FFF2-40B4-BE49-F238E27FC236}">
              <a16:creationId xmlns:a16="http://schemas.microsoft.com/office/drawing/2014/main" id="{D2D71B27-7DF7-8714-D01E-7D72C91B32DF}"/>
            </a:ext>
          </a:extLst>
        </xdr:cNvPr>
        <xdr:cNvSpPr/>
      </xdr:nvSpPr>
      <xdr:spPr>
        <a:xfrm flipV="1">
          <a:off x="0" y="1460500"/>
          <a:ext cx="1644650" cy="1263650"/>
        </a:xfrm>
        <a:custGeom>
          <a:avLst/>
          <a:gdLst>
            <a:gd name="csX0" fmla="*/ 0 w 1306800"/>
            <a:gd name="csY0" fmla="*/ 1406874 h 1406874"/>
            <a:gd name="csX1" fmla="*/ 0 w 1306800"/>
            <a:gd name="csY1" fmla="*/ 20874 h 1406874"/>
            <a:gd name="csX2" fmla="*/ 679450 w 1306800"/>
            <a:gd name="csY2" fmla="*/ 702024 h 1406874"/>
            <a:gd name="csX3" fmla="*/ 1306800 w 1306800"/>
            <a:gd name="csY3" fmla="*/ 1406874 h 1406874"/>
            <a:gd name="csX4" fmla="*/ 0 w 1306800"/>
            <a:gd name="csY4" fmla="*/ 1406874 h 140687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306800" h="1406874">
              <a:moveTo>
                <a:pt x="0" y="1406874"/>
              </a:moveTo>
              <a:lnTo>
                <a:pt x="0" y="20874"/>
              </a:lnTo>
              <a:cubicBezTo>
                <a:pt x="238125" y="-117768"/>
                <a:pt x="461650" y="471024"/>
                <a:pt x="679450" y="702024"/>
              </a:cubicBezTo>
              <a:cubicBezTo>
                <a:pt x="897250" y="933024"/>
                <a:pt x="1297275" y="1033282"/>
                <a:pt x="1306800" y="1406874"/>
              </a:cubicBezTo>
              <a:lnTo>
                <a:pt x="0" y="1406874"/>
              </a:lnTo>
              <a:close/>
            </a:path>
          </a:pathLst>
        </a:custGeom>
        <a:solidFill>
          <a:srgbClr val="49AA91"/>
        </a:solidFill>
        <a:ln w="12700">
          <a:solidFill>
            <a:srgbClr val="73C3A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1</xdr:col>
      <xdr:colOff>254000</xdr:colOff>
      <xdr:row>11</xdr:row>
      <xdr:rowOff>139700</xdr:rowOff>
    </xdr:from>
    <xdr:to>
      <xdr:col>11</xdr:col>
      <xdr:colOff>494000</xdr:colOff>
      <xdr:row>28</xdr:row>
      <xdr:rowOff>177150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54F6ACB-3B0E-7655-6EAF-C3D4B9689FDD}"/>
            </a:ext>
          </a:extLst>
        </xdr:cNvPr>
        <xdr:cNvSpPr/>
      </xdr:nvSpPr>
      <xdr:spPr>
        <a:xfrm>
          <a:off x="863600" y="2165350"/>
          <a:ext cx="6336000" cy="3168000"/>
        </a:xfrm>
        <a:prstGeom prst="roundRect">
          <a:avLst>
            <a:gd name="adj" fmla="val 10052"/>
          </a:avLst>
        </a:prstGeom>
        <a:solidFill>
          <a:schemeClr val="bg1"/>
        </a:solidFill>
        <a:ln>
          <a:noFill/>
        </a:ln>
        <a:effectLst>
          <a:outerShdw blurRad="647700" sx="102000" sy="102000" algn="ctr" rotWithShape="0">
            <a:prstClr val="black">
              <a:alpha val="29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1</xdr:col>
      <xdr:colOff>571500</xdr:colOff>
      <xdr:row>12</xdr:row>
      <xdr:rowOff>44450</xdr:rowOff>
    </xdr:from>
    <xdr:to>
      <xdr:col>4</xdr:col>
      <xdr:colOff>85500</xdr:colOff>
      <xdr:row>15</xdr:row>
      <xdr:rowOff>176000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DA760D-B58C-9C91-8F92-04AB6B53BB9D}"/>
            </a:ext>
          </a:extLst>
        </xdr:cNvPr>
        <xdr:cNvSpPr/>
      </xdr:nvSpPr>
      <xdr:spPr>
        <a:xfrm>
          <a:off x="1181100" y="2254250"/>
          <a:ext cx="1342800" cy="684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58800" dist="38100" sx="102000" sy="102000" algn="ctr" rotWithShape="0">
            <a:srgbClr val="066966">
              <a:alpha val="39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4</xdr:col>
      <xdr:colOff>215900</xdr:colOff>
      <xdr:row>12</xdr:row>
      <xdr:rowOff>44450</xdr:rowOff>
    </xdr:from>
    <xdr:to>
      <xdr:col>6</xdr:col>
      <xdr:colOff>339500</xdr:colOff>
      <xdr:row>15</xdr:row>
      <xdr:rowOff>176000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E007C33-B352-8ECF-7E56-65105996B1DF}"/>
            </a:ext>
          </a:extLst>
        </xdr:cNvPr>
        <xdr:cNvSpPr/>
      </xdr:nvSpPr>
      <xdr:spPr>
        <a:xfrm>
          <a:off x="2654300" y="2254250"/>
          <a:ext cx="1342800" cy="684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58800" dist="38100" sx="102000" sy="102000" algn="ctr" rotWithShape="0">
            <a:srgbClr val="066966">
              <a:alpha val="39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6</xdr:col>
      <xdr:colOff>469900</xdr:colOff>
      <xdr:row>12</xdr:row>
      <xdr:rowOff>44450</xdr:rowOff>
    </xdr:from>
    <xdr:to>
      <xdr:col>8</xdr:col>
      <xdr:colOff>593500</xdr:colOff>
      <xdr:row>15</xdr:row>
      <xdr:rowOff>176000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F2D2F4C-4984-CED9-8AB2-814841632190}"/>
            </a:ext>
          </a:extLst>
        </xdr:cNvPr>
        <xdr:cNvSpPr/>
      </xdr:nvSpPr>
      <xdr:spPr>
        <a:xfrm>
          <a:off x="4127500" y="2254250"/>
          <a:ext cx="1342800" cy="684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58800" dist="38100" sx="102000" sy="102000" algn="ctr" rotWithShape="0">
            <a:srgbClr val="066966">
              <a:alpha val="39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9</xdr:col>
      <xdr:colOff>114300</xdr:colOff>
      <xdr:row>12</xdr:row>
      <xdr:rowOff>44450</xdr:rowOff>
    </xdr:from>
    <xdr:to>
      <xdr:col>11</xdr:col>
      <xdr:colOff>237900</xdr:colOff>
      <xdr:row>15</xdr:row>
      <xdr:rowOff>176000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6700804-650E-E21F-3826-714E1C724A38}"/>
            </a:ext>
          </a:extLst>
        </xdr:cNvPr>
        <xdr:cNvSpPr/>
      </xdr:nvSpPr>
      <xdr:spPr>
        <a:xfrm>
          <a:off x="5600700" y="2254250"/>
          <a:ext cx="1342800" cy="684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58800" dist="38100" sx="102000" sy="102000" algn="ctr" rotWithShape="0">
            <a:srgbClr val="066966">
              <a:alpha val="39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1</xdr:col>
      <xdr:colOff>251100</xdr:colOff>
      <xdr:row>15</xdr:row>
      <xdr:rowOff>174350</xdr:rowOff>
    </xdr:from>
    <xdr:to>
      <xdr:col>1</xdr:col>
      <xdr:colOff>557100</xdr:colOff>
      <xdr:row>26</xdr:row>
      <xdr:rowOff>99900</xdr:rowOff>
    </xdr:to>
    <xdr:sp macro="" textlink="">
      <xdr:nvSpPr>
        <xdr:cNvPr id="10" name="Flowchart: Manual Operation 9">
          <a:extLst>
            <a:ext uri="{FF2B5EF4-FFF2-40B4-BE49-F238E27FC236}">
              <a16:creationId xmlns:a16="http://schemas.microsoft.com/office/drawing/2014/main" id="{9D71958F-7131-1247-B0BB-DD0F8F7E7413}"/>
            </a:ext>
          </a:extLst>
        </xdr:cNvPr>
        <xdr:cNvSpPr/>
      </xdr:nvSpPr>
      <xdr:spPr>
        <a:xfrm rot="16200000">
          <a:off x="38100" y="3759200"/>
          <a:ext cx="1951200" cy="306000"/>
        </a:xfrm>
        <a:custGeom>
          <a:avLst/>
          <a:gdLst>
            <a:gd name="csX0" fmla="*/ 0 w 10000"/>
            <a:gd name="csY0" fmla="*/ 0 h 10000"/>
            <a:gd name="csX1" fmla="*/ 10000 w 10000"/>
            <a:gd name="csY1" fmla="*/ 0 h 10000"/>
            <a:gd name="csX2" fmla="*/ 8000 w 10000"/>
            <a:gd name="csY2" fmla="*/ 10000 h 10000"/>
            <a:gd name="csX3" fmla="*/ 2000 w 10000"/>
            <a:gd name="csY3" fmla="*/ 10000 h 10000"/>
            <a:gd name="csX4" fmla="*/ 0 w 10000"/>
            <a:gd name="csY4" fmla="*/ 0 h 10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8925" y="4987"/>
                <a:pt x="9333" y="8333"/>
                <a:pt x="8000" y="10000"/>
              </a:cubicBezTo>
              <a:lnTo>
                <a:pt x="2000" y="10000"/>
              </a:lnTo>
              <a:cubicBezTo>
                <a:pt x="667" y="8333"/>
                <a:pt x="1271" y="3535"/>
                <a:pt x="0" y="0"/>
              </a:cubicBezTo>
              <a:close/>
            </a:path>
          </a:pathLst>
        </a:custGeom>
        <a:solidFill>
          <a:srgbClr val="067D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2</xdr:col>
      <xdr:colOff>69850</xdr:colOff>
      <xdr:row>12</xdr:row>
      <xdr:rowOff>44450</xdr:rowOff>
    </xdr:from>
    <xdr:to>
      <xdr:col>4</xdr:col>
      <xdr:colOff>107950</xdr:colOff>
      <xdr:row>13</xdr:row>
      <xdr:rowOff>165100</xdr:rowOff>
    </xdr:to>
    <xdr:sp macro="" textlink="processing!B2">
      <xdr:nvSpPr>
        <xdr:cNvPr id="11" name="TextBox 10">
          <a:extLst>
            <a:ext uri="{FF2B5EF4-FFF2-40B4-BE49-F238E27FC236}">
              <a16:creationId xmlns:a16="http://schemas.microsoft.com/office/drawing/2014/main" id="{0100764B-DB0E-6343-C9FB-4D6D0253873D}"/>
            </a:ext>
          </a:extLst>
        </xdr:cNvPr>
        <xdr:cNvSpPr txBox="1"/>
      </xdr:nvSpPr>
      <xdr:spPr>
        <a:xfrm>
          <a:off x="1289050" y="2254250"/>
          <a:ext cx="1257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C0CA0FB4-C009-4BCC-B4B1-6BCA238CB254}" type="TxLink">
            <a:rPr lang="en-US" sz="1200" b="0" i="0" u="none" strike="noStrike">
              <a:solidFill>
                <a:srgbClr val="249987"/>
              </a:solidFill>
              <a:latin typeface="Aptos" panose="020B0004020202020204" pitchFamily="34" charset="0"/>
              <a:ea typeface="Calibri"/>
              <a:cs typeface="Calibri"/>
            </a:rPr>
            <a:pPr algn="r"/>
            <a:t>US$29,670,000</a:t>
          </a:fld>
          <a:endParaRPr lang="en-ZW" sz="1200">
            <a:solidFill>
              <a:srgbClr val="249987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44450</xdr:colOff>
      <xdr:row>13</xdr:row>
      <xdr:rowOff>101600</xdr:rowOff>
    </xdr:from>
    <xdr:to>
      <xdr:col>4</xdr:col>
      <xdr:colOff>82550</xdr:colOff>
      <xdr:row>15</xdr:row>
      <xdr:rowOff>38100</xdr:rowOff>
    </xdr:to>
    <xdr:sp macro="" textlink="processing!B3">
      <xdr:nvSpPr>
        <xdr:cNvPr id="12" name="TextBox 11">
          <a:extLst>
            <a:ext uri="{FF2B5EF4-FFF2-40B4-BE49-F238E27FC236}">
              <a16:creationId xmlns:a16="http://schemas.microsoft.com/office/drawing/2014/main" id="{FDAC3BC1-903A-9665-BEF9-CC3ABB955AF2}"/>
            </a:ext>
          </a:extLst>
        </xdr:cNvPr>
        <xdr:cNvSpPr txBox="1"/>
      </xdr:nvSpPr>
      <xdr:spPr>
        <a:xfrm>
          <a:off x="1263650" y="2495550"/>
          <a:ext cx="1257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CF4D4CA2-D79B-4AB8-9DE1-ECCAE7F51783}" type="TxLink">
            <a:rPr lang="en-US" sz="1000" b="0" i="0" u="none" strike="noStrike">
              <a:solidFill>
                <a:srgbClr val="249987"/>
              </a:solidFill>
              <a:latin typeface="Calibri"/>
              <a:ea typeface="Calibri"/>
              <a:cs typeface="Calibri"/>
            </a:rPr>
            <a:pPr algn="r"/>
            <a:t>US$26,690,000</a:t>
          </a:fld>
          <a:endParaRPr lang="en-ZW" sz="1000">
            <a:solidFill>
              <a:srgbClr val="249987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</xdr:col>
      <xdr:colOff>495300</xdr:colOff>
      <xdr:row>14</xdr:row>
      <xdr:rowOff>120650</xdr:rowOff>
    </xdr:from>
    <xdr:to>
      <xdr:col>4</xdr:col>
      <xdr:colOff>133350</xdr:colOff>
      <xdr:row>16</xdr:row>
      <xdr:rowOff>57150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57AEB9-17A1-650E-DB27-6E3682B283EA}"/>
            </a:ext>
          </a:extLst>
        </xdr:cNvPr>
        <xdr:cNvSpPr txBox="1"/>
      </xdr:nvSpPr>
      <xdr:spPr>
        <a:xfrm>
          <a:off x="1104900" y="2698750"/>
          <a:ext cx="14668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rgbClr val="249987"/>
              </a:solidFill>
              <a:latin typeface="Aptos" panose="020B0004020202020204" pitchFamily="34" charset="0"/>
              <a:ea typeface="Calibri"/>
              <a:cs typeface="Calibri"/>
            </a:rPr>
            <a:t>Income</a:t>
          </a:r>
          <a:r>
            <a:rPr lang="en-US" sz="1100" b="1" i="0" u="none" strike="noStrike" baseline="0">
              <a:solidFill>
                <a:srgbClr val="249987"/>
              </a:solidFill>
              <a:latin typeface="Aptos" panose="020B0004020202020204" pitchFamily="34" charset="0"/>
              <a:ea typeface="Calibri"/>
              <a:cs typeface="Calibri"/>
            </a:rPr>
            <a:t> By Gender</a:t>
          </a:r>
          <a:endParaRPr lang="en-US" sz="1100" b="1" i="0" u="none" strike="noStrike">
            <a:solidFill>
              <a:srgbClr val="249987"/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527050</xdr:colOff>
      <xdr:row>11</xdr:row>
      <xdr:rowOff>152400</xdr:rowOff>
    </xdr:from>
    <xdr:to>
      <xdr:col>5</xdr:col>
      <xdr:colOff>412750</xdr:colOff>
      <xdr:row>15</xdr:row>
      <xdr:rowOff>95250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7297E4-B97E-4165-839E-6C62AB7E2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374650</xdr:colOff>
      <xdr:row>12</xdr:row>
      <xdr:rowOff>133350</xdr:rowOff>
    </xdr:from>
    <xdr:to>
      <xdr:col>5</xdr:col>
      <xdr:colOff>450850</xdr:colOff>
      <xdr:row>13</xdr:row>
      <xdr:rowOff>69850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17B548B-022F-5546-DF7F-BD508A5BEE7F}"/>
            </a:ext>
          </a:extLst>
        </xdr:cNvPr>
        <xdr:cNvSpPr/>
      </xdr:nvSpPr>
      <xdr:spPr>
        <a:xfrm>
          <a:off x="3422650" y="2343150"/>
          <a:ext cx="76200" cy="120650"/>
        </a:xfrm>
        <a:prstGeom prst="rect">
          <a:avLst/>
        </a:prstGeom>
        <a:solidFill>
          <a:srgbClr val="0669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5</xdr:col>
      <xdr:colOff>374650</xdr:colOff>
      <xdr:row>13</xdr:row>
      <xdr:rowOff>127000</xdr:rowOff>
    </xdr:from>
    <xdr:to>
      <xdr:col>5</xdr:col>
      <xdr:colOff>450850</xdr:colOff>
      <xdr:row>14</xdr:row>
      <xdr:rowOff>63500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E676874-4A5A-2410-BDBD-01B1F8709F7F}"/>
            </a:ext>
          </a:extLst>
        </xdr:cNvPr>
        <xdr:cNvSpPr/>
      </xdr:nvSpPr>
      <xdr:spPr>
        <a:xfrm>
          <a:off x="3422650" y="2520950"/>
          <a:ext cx="76200" cy="120650"/>
        </a:xfrm>
        <a:prstGeom prst="rect">
          <a:avLst/>
        </a:prstGeom>
        <a:solidFill>
          <a:srgbClr val="49AA9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W" sz="1100"/>
        </a:p>
      </xdr:txBody>
    </xdr:sp>
    <xdr:clientData/>
  </xdr:twoCellAnchor>
  <xdr:twoCellAnchor>
    <xdr:from>
      <xdr:col>5</xdr:col>
      <xdr:colOff>431800</xdr:colOff>
      <xdr:row>12</xdr:row>
      <xdr:rowOff>63500</xdr:rowOff>
    </xdr:from>
    <xdr:to>
      <xdr:col>6</xdr:col>
      <xdr:colOff>285750</xdr:colOff>
      <xdr:row>13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3E3D575-34EE-1A8E-9605-2D432D118634}"/>
            </a:ext>
          </a:extLst>
        </xdr:cNvPr>
        <xdr:cNvSpPr txBox="1"/>
      </xdr:nvSpPr>
      <xdr:spPr>
        <a:xfrm>
          <a:off x="3479800" y="2273300"/>
          <a:ext cx="463550" cy="196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W" sz="1100">
              <a:solidFill>
                <a:srgbClr val="067D70"/>
              </a:solidFill>
            </a:rPr>
            <a:t>No</a:t>
          </a:r>
        </a:p>
      </xdr:txBody>
    </xdr:sp>
    <xdr:clientData/>
  </xdr:twoCellAnchor>
  <xdr:twoCellAnchor>
    <xdr:from>
      <xdr:col>5</xdr:col>
      <xdr:colOff>425450</xdr:colOff>
      <xdr:row>13</xdr:row>
      <xdr:rowOff>57150</xdr:rowOff>
    </xdr:from>
    <xdr:to>
      <xdr:col>6</xdr:col>
      <xdr:colOff>279400</xdr:colOff>
      <xdr:row>14</xdr:row>
      <xdr:rowOff>69850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D65A39E-1DAB-3B85-AF21-60FC34E70F1A}"/>
            </a:ext>
          </a:extLst>
        </xdr:cNvPr>
        <xdr:cNvSpPr txBox="1"/>
      </xdr:nvSpPr>
      <xdr:spPr>
        <a:xfrm>
          <a:off x="3473450" y="2451100"/>
          <a:ext cx="463550" cy="196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W" sz="1100">
              <a:solidFill>
                <a:srgbClr val="73C3AE"/>
              </a:solidFill>
            </a:rPr>
            <a:t>Yes</a:t>
          </a:r>
        </a:p>
      </xdr:txBody>
    </xdr:sp>
    <xdr:clientData/>
  </xdr:twoCellAnchor>
  <xdr:twoCellAnchor>
    <xdr:from>
      <xdr:col>4</xdr:col>
      <xdr:colOff>222250</xdr:colOff>
      <xdr:row>14</xdr:row>
      <xdr:rowOff>120650</xdr:rowOff>
    </xdr:from>
    <xdr:to>
      <xdr:col>6</xdr:col>
      <xdr:colOff>482600</xdr:colOff>
      <xdr:row>16</xdr:row>
      <xdr:rowOff>31750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6A2266-BC02-C477-535C-1CDF336E6A69}"/>
            </a:ext>
          </a:extLst>
        </xdr:cNvPr>
        <xdr:cNvSpPr txBox="1"/>
      </xdr:nvSpPr>
      <xdr:spPr>
        <a:xfrm>
          <a:off x="2660650" y="2698750"/>
          <a:ext cx="147955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W" sz="1100" b="1">
              <a:solidFill>
                <a:srgbClr val="249987"/>
              </a:solidFill>
            </a:rPr>
            <a:t>Purchased Insurance</a:t>
          </a:r>
        </a:p>
      </xdr:txBody>
    </xdr:sp>
    <xdr:clientData/>
  </xdr:twoCellAnchor>
  <xdr:twoCellAnchor>
    <xdr:from>
      <xdr:col>9</xdr:col>
      <xdr:colOff>254000</xdr:colOff>
      <xdr:row>14</xdr:row>
      <xdr:rowOff>95250</xdr:rowOff>
    </xdr:from>
    <xdr:to>
      <xdr:col>11</xdr:col>
      <xdr:colOff>158750</xdr:colOff>
      <xdr:row>15</xdr:row>
      <xdr:rowOff>146050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EC23696-BD40-88F8-63AC-779FD78EB66B}"/>
            </a:ext>
          </a:extLst>
        </xdr:cNvPr>
        <xdr:cNvSpPr txBox="1"/>
      </xdr:nvSpPr>
      <xdr:spPr>
        <a:xfrm>
          <a:off x="5740400" y="2673350"/>
          <a:ext cx="11239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W" sz="1200" b="1">
              <a:solidFill>
                <a:srgbClr val="249987"/>
              </a:solidFill>
            </a:rPr>
            <a:t>Total Policies</a:t>
          </a:r>
        </a:p>
      </xdr:txBody>
    </xdr:sp>
    <xdr:clientData/>
  </xdr:twoCellAnchor>
  <xdr:twoCellAnchor>
    <xdr:from>
      <xdr:col>9</xdr:col>
      <xdr:colOff>349250</xdr:colOff>
      <xdr:row>12</xdr:row>
      <xdr:rowOff>171450</xdr:rowOff>
    </xdr:from>
    <xdr:to>
      <xdr:col>10</xdr:col>
      <xdr:colOff>596900</xdr:colOff>
      <xdr:row>14</xdr:row>
      <xdr:rowOff>44450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97264D5-E899-3D3D-8A23-CBE0583F2636}"/>
            </a:ext>
          </a:extLst>
        </xdr:cNvPr>
        <xdr:cNvSpPr txBox="1"/>
      </xdr:nvSpPr>
      <xdr:spPr>
        <a:xfrm>
          <a:off x="5835650" y="2381250"/>
          <a:ext cx="8572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W" sz="2400">
              <a:solidFill>
                <a:srgbClr val="066966"/>
              </a:solidFill>
              <a:latin typeface="Aptos" panose="020B0004020202020204" pitchFamily="34" charset="0"/>
            </a:rPr>
            <a:t>1k</a:t>
          </a:r>
        </a:p>
      </xdr:txBody>
    </xdr:sp>
    <xdr:clientData/>
  </xdr:twoCellAnchor>
  <xdr:twoCellAnchor>
    <xdr:from>
      <xdr:col>6</xdr:col>
      <xdr:colOff>419100</xdr:colOff>
      <xdr:row>14</xdr:row>
      <xdr:rowOff>63500</xdr:rowOff>
    </xdr:from>
    <xdr:to>
      <xdr:col>9</xdr:col>
      <xdr:colOff>38100</xdr:colOff>
      <xdr:row>16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B442E64-0988-5953-02E3-DB5879781545}"/>
            </a:ext>
          </a:extLst>
        </xdr:cNvPr>
        <xdr:cNvSpPr txBox="1"/>
      </xdr:nvSpPr>
      <xdr:spPr>
        <a:xfrm>
          <a:off x="4076700" y="2641600"/>
          <a:ext cx="14478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ZW" sz="1100" b="1">
              <a:solidFill>
                <a:srgbClr val="49AA91"/>
              </a:solidFill>
              <a:latin typeface="Aptos" panose="020B0004020202020204" pitchFamily="34" charset="0"/>
            </a:rPr>
            <a:t>Avg Income/Holder</a:t>
          </a:r>
        </a:p>
      </xdr:txBody>
    </xdr:sp>
    <xdr:clientData/>
  </xdr:twoCellAnchor>
  <xdr:twoCellAnchor>
    <xdr:from>
      <xdr:col>6</xdr:col>
      <xdr:colOff>590550</xdr:colOff>
      <xdr:row>13</xdr:row>
      <xdr:rowOff>6350</xdr:rowOff>
    </xdr:from>
    <xdr:to>
      <xdr:col>8</xdr:col>
      <xdr:colOff>501650</xdr:colOff>
      <xdr:row>14</xdr:row>
      <xdr:rowOff>139700</xdr:rowOff>
    </xdr:to>
    <xdr:sp macro="" textlink="processing!B26">
      <xdr:nvSpPr>
        <xdr:cNvPr id="27" name="TextBox 26">
          <a:extLst>
            <a:ext uri="{FF2B5EF4-FFF2-40B4-BE49-F238E27FC236}">
              <a16:creationId xmlns:a16="http://schemas.microsoft.com/office/drawing/2014/main" id="{F4E16B6B-99E3-E53C-4F04-51A455217AE4}"/>
            </a:ext>
          </a:extLst>
        </xdr:cNvPr>
        <xdr:cNvSpPr txBox="1"/>
      </xdr:nvSpPr>
      <xdr:spPr>
        <a:xfrm>
          <a:off x="4248150" y="2400300"/>
          <a:ext cx="1130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B1A7990-4F6A-45A5-8925-EDA24A98B988}" type="TxLink">
            <a:rPr lang="en-US" sz="1400" b="0" i="0" u="none" strike="noStrike">
              <a:solidFill>
                <a:srgbClr val="066966"/>
              </a:solidFill>
              <a:latin typeface="Aptos" panose="020B0004020202020204" pitchFamily="34" charset="0"/>
              <a:ea typeface="Calibri"/>
              <a:cs typeface="Calibri"/>
            </a:rPr>
            <a:pPr/>
            <a:t>US$57,963</a:t>
          </a:fld>
          <a:endParaRPr lang="en-ZW" sz="1400">
            <a:solidFill>
              <a:srgbClr val="066966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88900</xdr:colOff>
      <xdr:row>17</xdr:row>
      <xdr:rowOff>25400</xdr:rowOff>
    </xdr:from>
    <xdr:to>
      <xdr:col>6</xdr:col>
      <xdr:colOff>527050</xdr:colOff>
      <xdr:row>26</xdr:row>
      <xdr:rowOff>120650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AA1AF7D-1AB7-43A8-9319-249FC57B6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50801</xdr:colOff>
      <xdr:row>17</xdr:row>
      <xdr:rowOff>12700</xdr:rowOff>
    </xdr:from>
    <xdr:to>
      <xdr:col>11</xdr:col>
      <xdr:colOff>184150</xdr:colOff>
      <xdr:row>26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F83AFA-F6EB-4CCE-BEC9-6ED43C517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vor Clever Kutsvara" refreshedDate="46275.742547916663" createdVersion="8" refreshedVersion="8" minRefreshableVersion="3" recordCount="1000" xr:uid="{3653F916-F7B1-45F3-98CB-12EF5C68E397}">
  <cacheSource type="worksheet">
    <worksheetSource ref="A1:N1001" sheet="working sheet"/>
  </cacheSource>
  <cacheFields count="14">
    <cacheField name="PolicyHolder 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(Risk factor)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Dependent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 level" numFmtId="0">
      <sharedItems count="5">
        <s v="Bachelors"/>
        <s v="Partial College"/>
        <s v="High School"/>
        <s v="Partial High School"/>
        <s v="Graduate Degree"/>
      </sharedItems>
    </cacheField>
    <cacheField name="Occupation(Risk class)" numFmtId="0">
      <sharedItems count="5">
        <s v="Skilled Manual"/>
        <s v="Clerical"/>
        <s v="Professional"/>
        <s v="Manual"/>
        <s v="Management"/>
      </sharedItems>
    </cacheField>
    <cacheField name="Home Ownership status" numFmtId="0">
      <sharedItems count="2">
        <s v="Yes"/>
        <s v="No"/>
      </sharedItems>
    </cacheField>
    <cacheField name="Assets Owned(Cars)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(Risk factor)" numFmtId="0">
      <sharedItems count="3">
        <s v="Middle Age"/>
        <s v="Old"/>
        <s v="Adolescent"/>
      </sharedItems>
    </cacheField>
    <cacheField name="Purchased insuranc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6190025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vor Clever Kutsvara" refreshedDate="46275.758154745374" createdVersion="8" refreshedVersion="8" minRefreshableVersion="3" recordCount="1000" xr:uid="{E9FADBD6-AF28-4CDA-B565-4D485880DE2F}">
  <cacheSource type="worksheet">
    <worksheetSource ref="E1:N1001" sheet="working sheet"/>
  </cacheSource>
  <cacheFields count="10">
    <cacheField name="Dependent" numFmtId="0">
      <sharedItems containsSemiMixedTypes="0" containsString="0" containsNumber="1" containsInteger="1" minValue="0" maxValue="5"/>
    </cacheField>
    <cacheField name="Education level" numFmtId="0">
      <sharedItems/>
    </cacheField>
    <cacheField name="Occupation(Risk class)" numFmtId="0">
      <sharedItems/>
    </cacheField>
    <cacheField name="Home Ownership status" numFmtId="0">
      <sharedItems/>
    </cacheField>
    <cacheField name="Assets Owned(Cars)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(Risk factor)" numFmtId="0">
      <sharedItems count="3">
        <s v="Middle Age"/>
        <s v="Old"/>
        <s v="Adolescent"/>
      </sharedItems>
    </cacheField>
    <cacheField name="Purchased insur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arried"/>
    <x v="0"/>
    <x v="0"/>
    <x v="0"/>
    <x v="0"/>
    <x v="0"/>
    <x v="0"/>
    <n v="0"/>
    <s v="0-1 Miles"/>
    <x v="0"/>
    <x v="0"/>
    <x v="0"/>
    <x v="0"/>
  </r>
  <r>
    <x v="1"/>
    <s v="Married"/>
    <x v="1"/>
    <x v="1"/>
    <x v="1"/>
    <x v="1"/>
    <x v="1"/>
    <x v="0"/>
    <n v="1"/>
    <s v="0-1 Miles"/>
    <x v="0"/>
    <x v="1"/>
    <x v="0"/>
    <x v="0"/>
  </r>
  <r>
    <x v="2"/>
    <s v="Married"/>
    <x v="1"/>
    <x v="2"/>
    <x v="2"/>
    <x v="1"/>
    <x v="2"/>
    <x v="1"/>
    <n v="2"/>
    <s v="2-5 Miles"/>
    <x v="0"/>
    <x v="2"/>
    <x v="1"/>
    <x v="0"/>
  </r>
  <r>
    <x v="3"/>
    <s v="Single"/>
    <x v="1"/>
    <x v="3"/>
    <x v="3"/>
    <x v="0"/>
    <x v="2"/>
    <x v="0"/>
    <n v="1"/>
    <s v="5-10 Miles"/>
    <x v="1"/>
    <x v="3"/>
    <x v="0"/>
    <x v="1"/>
  </r>
  <r>
    <x v="4"/>
    <s v="Single"/>
    <x v="1"/>
    <x v="1"/>
    <x v="3"/>
    <x v="0"/>
    <x v="1"/>
    <x v="1"/>
    <n v="0"/>
    <s v="0-1 Miles"/>
    <x v="0"/>
    <x v="4"/>
    <x v="0"/>
    <x v="1"/>
  </r>
  <r>
    <x v="5"/>
    <s v="Married"/>
    <x v="0"/>
    <x v="4"/>
    <x v="4"/>
    <x v="1"/>
    <x v="3"/>
    <x v="0"/>
    <n v="0"/>
    <s v="1-2 Miles"/>
    <x v="0"/>
    <x v="5"/>
    <x v="0"/>
    <x v="0"/>
  </r>
  <r>
    <x v="6"/>
    <s v="Single"/>
    <x v="1"/>
    <x v="5"/>
    <x v="4"/>
    <x v="2"/>
    <x v="4"/>
    <x v="0"/>
    <n v="4"/>
    <s v="0-1 Miles"/>
    <x v="1"/>
    <x v="6"/>
    <x v="0"/>
    <x v="1"/>
  </r>
  <r>
    <x v="7"/>
    <s v="Married"/>
    <x v="1"/>
    <x v="0"/>
    <x v="0"/>
    <x v="0"/>
    <x v="0"/>
    <x v="0"/>
    <n v="0"/>
    <s v="0-1 Miles"/>
    <x v="0"/>
    <x v="1"/>
    <x v="0"/>
    <x v="1"/>
  </r>
  <r>
    <x v="8"/>
    <s v="Married"/>
    <x v="1"/>
    <x v="6"/>
    <x v="4"/>
    <x v="3"/>
    <x v="1"/>
    <x v="0"/>
    <n v="2"/>
    <s v="5-10 Miles"/>
    <x v="1"/>
    <x v="7"/>
    <x v="1"/>
    <x v="0"/>
  </r>
  <r>
    <x v="9"/>
    <s v="Married"/>
    <x v="1"/>
    <x v="7"/>
    <x v="4"/>
    <x v="1"/>
    <x v="3"/>
    <x v="0"/>
    <n v="1"/>
    <s v="0-1 Miles"/>
    <x v="0"/>
    <x v="8"/>
    <x v="0"/>
    <x v="1"/>
  </r>
  <r>
    <x v="10"/>
    <s v="Married"/>
    <x v="0"/>
    <x v="1"/>
    <x v="1"/>
    <x v="2"/>
    <x v="0"/>
    <x v="1"/>
    <n v="2"/>
    <s v="1-2 Miles"/>
    <x v="1"/>
    <x v="9"/>
    <x v="0"/>
    <x v="1"/>
  </r>
  <r>
    <x v="11"/>
    <s v="Single"/>
    <x v="0"/>
    <x v="8"/>
    <x v="3"/>
    <x v="0"/>
    <x v="2"/>
    <x v="1"/>
    <n v="4"/>
    <s v="10+ Miles"/>
    <x v="1"/>
    <x v="4"/>
    <x v="0"/>
    <x v="0"/>
  </r>
  <r>
    <x v="12"/>
    <s v="Married"/>
    <x v="1"/>
    <x v="9"/>
    <x v="2"/>
    <x v="1"/>
    <x v="2"/>
    <x v="0"/>
    <n v="0"/>
    <s v="0-1 Miles"/>
    <x v="0"/>
    <x v="10"/>
    <x v="1"/>
    <x v="0"/>
  </r>
  <r>
    <x v="13"/>
    <s v="Married"/>
    <x v="1"/>
    <x v="0"/>
    <x v="4"/>
    <x v="1"/>
    <x v="1"/>
    <x v="0"/>
    <n v="1"/>
    <s v="1-2 Miles"/>
    <x v="0"/>
    <x v="11"/>
    <x v="0"/>
    <x v="1"/>
  </r>
  <r>
    <x v="14"/>
    <s v="Single"/>
    <x v="1"/>
    <x v="10"/>
    <x v="0"/>
    <x v="1"/>
    <x v="0"/>
    <x v="1"/>
    <n v="1"/>
    <s v="0-1 Miles"/>
    <x v="1"/>
    <x v="12"/>
    <x v="0"/>
    <x v="1"/>
  </r>
  <r>
    <x v="15"/>
    <s v="Single"/>
    <x v="0"/>
    <x v="4"/>
    <x v="4"/>
    <x v="2"/>
    <x v="3"/>
    <x v="0"/>
    <n v="1"/>
    <s v="0-1 Miles"/>
    <x v="0"/>
    <x v="13"/>
    <x v="0"/>
    <x v="1"/>
  </r>
  <r>
    <x v="16"/>
    <s v="Single"/>
    <x v="1"/>
    <x v="1"/>
    <x v="1"/>
    <x v="1"/>
    <x v="1"/>
    <x v="1"/>
    <n v="2"/>
    <s v="1-2 Miles"/>
    <x v="1"/>
    <x v="14"/>
    <x v="1"/>
    <x v="1"/>
  </r>
  <r>
    <x v="17"/>
    <s v="Married"/>
    <x v="0"/>
    <x v="1"/>
    <x v="0"/>
    <x v="0"/>
    <x v="1"/>
    <x v="0"/>
    <n v="0"/>
    <s v="0-1 Miles"/>
    <x v="0"/>
    <x v="15"/>
    <x v="0"/>
    <x v="0"/>
  </r>
  <r>
    <x v="18"/>
    <s v="Single"/>
    <x v="1"/>
    <x v="0"/>
    <x v="4"/>
    <x v="1"/>
    <x v="1"/>
    <x v="0"/>
    <n v="1"/>
    <s v="1-2 Miles"/>
    <x v="0"/>
    <x v="11"/>
    <x v="0"/>
    <x v="1"/>
  </r>
  <r>
    <x v="19"/>
    <s v="Single"/>
    <x v="1"/>
    <x v="6"/>
    <x v="4"/>
    <x v="3"/>
    <x v="1"/>
    <x v="0"/>
    <n v="2"/>
    <s v="5-10 Miles"/>
    <x v="1"/>
    <x v="10"/>
    <x v="1"/>
    <x v="1"/>
  </r>
  <r>
    <x v="20"/>
    <s v="Married"/>
    <x v="0"/>
    <x v="0"/>
    <x v="3"/>
    <x v="4"/>
    <x v="1"/>
    <x v="0"/>
    <n v="0"/>
    <s v="0-1 Miles"/>
    <x v="0"/>
    <x v="4"/>
    <x v="0"/>
    <x v="1"/>
  </r>
  <r>
    <x v="21"/>
    <s v="Single"/>
    <x v="0"/>
    <x v="2"/>
    <x v="3"/>
    <x v="0"/>
    <x v="2"/>
    <x v="0"/>
    <n v="4"/>
    <s v="10+ Miles"/>
    <x v="1"/>
    <x v="11"/>
    <x v="0"/>
    <x v="0"/>
  </r>
  <r>
    <x v="22"/>
    <s v="Single"/>
    <x v="1"/>
    <x v="0"/>
    <x v="4"/>
    <x v="1"/>
    <x v="1"/>
    <x v="0"/>
    <n v="0"/>
    <s v="1-2 Miles"/>
    <x v="0"/>
    <x v="11"/>
    <x v="0"/>
    <x v="1"/>
  </r>
  <r>
    <x v="23"/>
    <s v="Married"/>
    <x v="0"/>
    <x v="2"/>
    <x v="2"/>
    <x v="2"/>
    <x v="4"/>
    <x v="1"/>
    <n v="3"/>
    <s v="5-10 Miles"/>
    <x v="0"/>
    <x v="16"/>
    <x v="1"/>
    <x v="0"/>
  </r>
  <r>
    <x v="24"/>
    <s v="Single"/>
    <x v="1"/>
    <x v="0"/>
    <x v="4"/>
    <x v="1"/>
    <x v="1"/>
    <x v="1"/>
    <n v="1"/>
    <s v="0-1 Miles"/>
    <x v="0"/>
    <x v="17"/>
    <x v="0"/>
    <x v="0"/>
  </r>
  <r>
    <x v="25"/>
    <s v="Single"/>
    <x v="1"/>
    <x v="1"/>
    <x v="0"/>
    <x v="0"/>
    <x v="1"/>
    <x v="0"/>
    <n v="0"/>
    <s v="0-1 Miles"/>
    <x v="0"/>
    <x v="18"/>
    <x v="1"/>
    <x v="0"/>
  </r>
  <r>
    <x v="26"/>
    <s v="Single"/>
    <x v="1"/>
    <x v="1"/>
    <x v="3"/>
    <x v="1"/>
    <x v="1"/>
    <x v="1"/>
    <n v="1"/>
    <s v="0-1 Miles"/>
    <x v="0"/>
    <x v="19"/>
    <x v="2"/>
    <x v="1"/>
  </r>
  <r>
    <x v="27"/>
    <s v="Single"/>
    <x v="0"/>
    <x v="11"/>
    <x v="3"/>
    <x v="0"/>
    <x v="2"/>
    <x v="1"/>
    <n v="1"/>
    <s v="5-10 Miles"/>
    <x v="1"/>
    <x v="8"/>
    <x v="0"/>
    <x v="0"/>
  </r>
  <r>
    <x v="28"/>
    <s v="Married"/>
    <x v="1"/>
    <x v="3"/>
    <x v="2"/>
    <x v="1"/>
    <x v="0"/>
    <x v="0"/>
    <n v="2"/>
    <s v="5-10 Miles"/>
    <x v="1"/>
    <x v="20"/>
    <x v="0"/>
    <x v="0"/>
  </r>
  <r>
    <x v="29"/>
    <s v="Single"/>
    <x v="0"/>
    <x v="6"/>
    <x v="3"/>
    <x v="3"/>
    <x v="3"/>
    <x v="1"/>
    <n v="2"/>
    <s v="0-1 Miles"/>
    <x v="0"/>
    <x v="21"/>
    <x v="0"/>
    <x v="1"/>
  </r>
  <r>
    <x v="30"/>
    <s v="Married"/>
    <x v="0"/>
    <x v="6"/>
    <x v="4"/>
    <x v="1"/>
    <x v="3"/>
    <x v="0"/>
    <n v="0"/>
    <s v="0-1 Miles"/>
    <x v="0"/>
    <x v="18"/>
    <x v="1"/>
    <x v="0"/>
  </r>
  <r>
    <x v="31"/>
    <s v="Married"/>
    <x v="1"/>
    <x v="4"/>
    <x v="3"/>
    <x v="1"/>
    <x v="3"/>
    <x v="1"/>
    <n v="1"/>
    <s v="0-1 Miles"/>
    <x v="1"/>
    <x v="22"/>
    <x v="2"/>
    <x v="1"/>
  </r>
  <r>
    <x v="32"/>
    <s v="Single"/>
    <x v="0"/>
    <x v="6"/>
    <x v="3"/>
    <x v="2"/>
    <x v="3"/>
    <x v="1"/>
    <n v="1"/>
    <s v="5-10 Miles"/>
    <x v="0"/>
    <x v="23"/>
    <x v="0"/>
    <x v="0"/>
  </r>
  <r>
    <x v="33"/>
    <s v="Single"/>
    <x v="1"/>
    <x v="2"/>
    <x v="4"/>
    <x v="2"/>
    <x v="0"/>
    <x v="1"/>
    <n v="2"/>
    <s v="1-2 Miles"/>
    <x v="1"/>
    <x v="5"/>
    <x v="0"/>
    <x v="1"/>
  </r>
  <r>
    <x v="34"/>
    <s v="Single"/>
    <x v="1"/>
    <x v="8"/>
    <x v="2"/>
    <x v="1"/>
    <x v="2"/>
    <x v="1"/>
    <n v="2"/>
    <s v="2-5 Miles"/>
    <x v="0"/>
    <x v="24"/>
    <x v="1"/>
    <x v="1"/>
  </r>
  <r>
    <x v="35"/>
    <s v="Single"/>
    <x v="0"/>
    <x v="4"/>
    <x v="2"/>
    <x v="3"/>
    <x v="3"/>
    <x v="1"/>
    <n v="2"/>
    <s v="0-1 Miles"/>
    <x v="0"/>
    <x v="3"/>
    <x v="0"/>
    <x v="0"/>
  </r>
  <r>
    <x v="36"/>
    <s v="Married"/>
    <x v="0"/>
    <x v="4"/>
    <x v="4"/>
    <x v="1"/>
    <x v="3"/>
    <x v="0"/>
    <n v="1"/>
    <s v="0-1 Miles"/>
    <x v="0"/>
    <x v="5"/>
    <x v="0"/>
    <x v="1"/>
  </r>
  <r>
    <x v="37"/>
    <s v="Single"/>
    <x v="0"/>
    <x v="1"/>
    <x v="3"/>
    <x v="1"/>
    <x v="1"/>
    <x v="1"/>
    <n v="1"/>
    <s v="2-5 Miles"/>
    <x v="0"/>
    <x v="25"/>
    <x v="2"/>
    <x v="0"/>
  </r>
  <r>
    <x v="38"/>
    <s v="Single"/>
    <x v="1"/>
    <x v="6"/>
    <x v="3"/>
    <x v="2"/>
    <x v="3"/>
    <x v="1"/>
    <n v="1"/>
    <s v="2-5 Miles"/>
    <x v="0"/>
    <x v="26"/>
    <x v="2"/>
    <x v="0"/>
  </r>
  <r>
    <x v="39"/>
    <s v="Single"/>
    <x v="0"/>
    <x v="4"/>
    <x v="5"/>
    <x v="3"/>
    <x v="3"/>
    <x v="0"/>
    <n v="2"/>
    <s v="0-1 Miles"/>
    <x v="0"/>
    <x v="8"/>
    <x v="0"/>
    <x v="1"/>
  </r>
  <r>
    <x v="40"/>
    <s v="Single"/>
    <x v="0"/>
    <x v="1"/>
    <x v="4"/>
    <x v="1"/>
    <x v="1"/>
    <x v="1"/>
    <n v="0"/>
    <s v="0-1 Miles"/>
    <x v="0"/>
    <x v="1"/>
    <x v="0"/>
    <x v="0"/>
  </r>
  <r>
    <x v="41"/>
    <s v="Single"/>
    <x v="0"/>
    <x v="0"/>
    <x v="4"/>
    <x v="0"/>
    <x v="4"/>
    <x v="0"/>
    <n v="2"/>
    <s v="5-10 Miles"/>
    <x v="1"/>
    <x v="27"/>
    <x v="1"/>
    <x v="1"/>
  </r>
  <r>
    <x v="42"/>
    <s v="Married"/>
    <x v="0"/>
    <x v="4"/>
    <x v="0"/>
    <x v="4"/>
    <x v="3"/>
    <x v="0"/>
    <n v="0"/>
    <s v="0-1 Miles"/>
    <x v="0"/>
    <x v="8"/>
    <x v="0"/>
    <x v="0"/>
  </r>
  <r>
    <x v="43"/>
    <s v="Married"/>
    <x v="0"/>
    <x v="9"/>
    <x v="5"/>
    <x v="1"/>
    <x v="2"/>
    <x v="1"/>
    <n v="3"/>
    <s v="5-10 Miles"/>
    <x v="0"/>
    <x v="28"/>
    <x v="0"/>
    <x v="1"/>
  </r>
  <r>
    <x v="44"/>
    <s v="Married"/>
    <x v="0"/>
    <x v="6"/>
    <x v="1"/>
    <x v="2"/>
    <x v="3"/>
    <x v="0"/>
    <n v="0"/>
    <s v="0-1 Miles"/>
    <x v="0"/>
    <x v="3"/>
    <x v="0"/>
    <x v="1"/>
  </r>
  <r>
    <x v="45"/>
    <s v="Married"/>
    <x v="0"/>
    <x v="6"/>
    <x v="0"/>
    <x v="0"/>
    <x v="1"/>
    <x v="0"/>
    <n v="0"/>
    <s v="0-1 Miles"/>
    <x v="0"/>
    <x v="29"/>
    <x v="1"/>
    <x v="1"/>
  </r>
  <r>
    <x v="46"/>
    <s v="Married"/>
    <x v="0"/>
    <x v="10"/>
    <x v="0"/>
    <x v="1"/>
    <x v="0"/>
    <x v="0"/>
    <n v="1"/>
    <s v="5-10 Miles"/>
    <x v="1"/>
    <x v="30"/>
    <x v="0"/>
    <x v="1"/>
  </r>
  <r>
    <x v="47"/>
    <s v="Single"/>
    <x v="0"/>
    <x v="0"/>
    <x v="4"/>
    <x v="1"/>
    <x v="0"/>
    <x v="0"/>
    <n v="2"/>
    <s v="5-10 Miles"/>
    <x v="1"/>
    <x v="31"/>
    <x v="0"/>
    <x v="1"/>
  </r>
  <r>
    <x v="48"/>
    <s v="Married"/>
    <x v="1"/>
    <x v="1"/>
    <x v="4"/>
    <x v="1"/>
    <x v="1"/>
    <x v="1"/>
    <n v="2"/>
    <s v="0-1 Miles"/>
    <x v="0"/>
    <x v="0"/>
    <x v="0"/>
    <x v="0"/>
  </r>
  <r>
    <x v="49"/>
    <s v="Single"/>
    <x v="1"/>
    <x v="0"/>
    <x v="3"/>
    <x v="0"/>
    <x v="1"/>
    <x v="0"/>
    <n v="0"/>
    <s v="0-1 Miles"/>
    <x v="0"/>
    <x v="32"/>
    <x v="0"/>
    <x v="1"/>
  </r>
  <r>
    <x v="50"/>
    <s v="Single"/>
    <x v="0"/>
    <x v="1"/>
    <x v="3"/>
    <x v="1"/>
    <x v="1"/>
    <x v="1"/>
    <n v="1"/>
    <s v="0-1 Miles"/>
    <x v="0"/>
    <x v="26"/>
    <x v="2"/>
    <x v="0"/>
  </r>
  <r>
    <x v="51"/>
    <s v="Single"/>
    <x v="1"/>
    <x v="2"/>
    <x v="3"/>
    <x v="0"/>
    <x v="2"/>
    <x v="1"/>
    <n v="4"/>
    <s v="10+ Miles"/>
    <x v="1"/>
    <x v="11"/>
    <x v="0"/>
    <x v="0"/>
  </r>
  <r>
    <x v="52"/>
    <s v="Married"/>
    <x v="0"/>
    <x v="6"/>
    <x v="0"/>
    <x v="0"/>
    <x v="1"/>
    <x v="0"/>
    <n v="0"/>
    <s v="0-1 Miles"/>
    <x v="0"/>
    <x v="27"/>
    <x v="1"/>
    <x v="0"/>
  </r>
  <r>
    <x v="53"/>
    <s v="Single"/>
    <x v="0"/>
    <x v="8"/>
    <x v="5"/>
    <x v="2"/>
    <x v="4"/>
    <x v="1"/>
    <n v="3"/>
    <s v="5-10 Miles"/>
    <x v="0"/>
    <x v="16"/>
    <x v="1"/>
    <x v="0"/>
  </r>
  <r>
    <x v="54"/>
    <s v="Single"/>
    <x v="0"/>
    <x v="3"/>
    <x v="3"/>
    <x v="0"/>
    <x v="2"/>
    <x v="1"/>
    <n v="1"/>
    <s v="5-10 Miles"/>
    <x v="1"/>
    <x v="0"/>
    <x v="0"/>
    <x v="0"/>
  </r>
  <r>
    <x v="55"/>
    <s v="Married"/>
    <x v="1"/>
    <x v="2"/>
    <x v="5"/>
    <x v="2"/>
    <x v="2"/>
    <x v="0"/>
    <n v="2"/>
    <s v="10+ Miles"/>
    <x v="0"/>
    <x v="9"/>
    <x v="0"/>
    <x v="0"/>
  </r>
  <r>
    <x v="56"/>
    <s v="Married"/>
    <x v="1"/>
    <x v="0"/>
    <x v="3"/>
    <x v="0"/>
    <x v="1"/>
    <x v="0"/>
    <n v="0"/>
    <s v="0-1 Miles"/>
    <x v="0"/>
    <x v="13"/>
    <x v="0"/>
    <x v="1"/>
  </r>
  <r>
    <x v="57"/>
    <s v="Married"/>
    <x v="1"/>
    <x v="12"/>
    <x v="5"/>
    <x v="1"/>
    <x v="2"/>
    <x v="1"/>
    <n v="4"/>
    <s v="5-10 Miles"/>
    <x v="0"/>
    <x v="33"/>
    <x v="1"/>
    <x v="1"/>
  </r>
  <r>
    <x v="58"/>
    <s v="Married"/>
    <x v="0"/>
    <x v="0"/>
    <x v="0"/>
    <x v="0"/>
    <x v="0"/>
    <x v="0"/>
    <n v="0"/>
    <s v="0-1 Miles"/>
    <x v="0"/>
    <x v="1"/>
    <x v="0"/>
    <x v="1"/>
  </r>
  <r>
    <x v="59"/>
    <s v="Married"/>
    <x v="1"/>
    <x v="10"/>
    <x v="4"/>
    <x v="0"/>
    <x v="2"/>
    <x v="0"/>
    <n v="1"/>
    <s v="2-5 Miles"/>
    <x v="1"/>
    <x v="13"/>
    <x v="0"/>
    <x v="1"/>
  </r>
  <r>
    <x v="60"/>
    <s v="Single"/>
    <x v="0"/>
    <x v="4"/>
    <x v="0"/>
    <x v="2"/>
    <x v="3"/>
    <x v="1"/>
    <n v="1"/>
    <s v="1-2 Miles"/>
    <x v="0"/>
    <x v="12"/>
    <x v="0"/>
    <x v="0"/>
  </r>
  <r>
    <x v="61"/>
    <s v="Single"/>
    <x v="0"/>
    <x v="4"/>
    <x v="4"/>
    <x v="2"/>
    <x v="3"/>
    <x v="0"/>
    <n v="0"/>
    <s v="0-1 Miles"/>
    <x v="0"/>
    <x v="11"/>
    <x v="0"/>
    <x v="0"/>
  </r>
  <r>
    <x v="62"/>
    <s v="Married"/>
    <x v="1"/>
    <x v="0"/>
    <x v="4"/>
    <x v="0"/>
    <x v="4"/>
    <x v="0"/>
    <n v="1"/>
    <s v="0-1 Miles"/>
    <x v="1"/>
    <x v="31"/>
    <x v="0"/>
    <x v="1"/>
  </r>
  <r>
    <x v="63"/>
    <s v="Single"/>
    <x v="1"/>
    <x v="10"/>
    <x v="5"/>
    <x v="0"/>
    <x v="2"/>
    <x v="0"/>
    <n v="3"/>
    <s v="10+ Miles"/>
    <x v="1"/>
    <x v="3"/>
    <x v="0"/>
    <x v="0"/>
  </r>
  <r>
    <x v="64"/>
    <s v="Married"/>
    <x v="0"/>
    <x v="1"/>
    <x v="0"/>
    <x v="0"/>
    <x v="1"/>
    <x v="0"/>
    <n v="0"/>
    <s v="0-1 Miles"/>
    <x v="0"/>
    <x v="34"/>
    <x v="0"/>
    <x v="1"/>
  </r>
  <r>
    <x v="65"/>
    <s v="Single"/>
    <x v="1"/>
    <x v="1"/>
    <x v="4"/>
    <x v="1"/>
    <x v="1"/>
    <x v="0"/>
    <n v="2"/>
    <s v="5-10 Miles"/>
    <x v="1"/>
    <x v="35"/>
    <x v="1"/>
    <x v="0"/>
  </r>
  <r>
    <x v="66"/>
    <s v="Married"/>
    <x v="0"/>
    <x v="0"/>
    <x v="3"/>
    <x v="4"/>
    <x v="1"/>
    <x v="0"/>
    <n v="0"/>
    <s v="0-1 Miles"/>
    <x v="0"/>
    <x v="34"/>
    <x v="0"/>
    <x v="1"/>
  </r>
  <r>
    <x v="67"/>
    <s v="Single"/>
    <x v="1"/>
    <x v="1"/>
    <x v="3"/>
    <x v="2"/>
    <x v="3"/>
    <x v="0"/>
    <n v="1"/>
    <s v="2-5 Miles"/>
    <x v="0"/>
    <x v="6"/>
    <x v="0"/>
    <x v="1"/>
  </r>
  <r>
    <x v="68"/>
    <s v="Single"/>
    <x v="0"/>
    <x v="6"/>
    <x v="5"/>
    <x v="2"/>
    <x v="3"/>
    <x v="0"/>
    <n v="1"/>
    <s v="0-1 Miles"/>
    <x v="0"/>
    <x v="1"/>
    <x v="0"/>
    <x v="1"/>
  </r>
  <r>
    <x v="69"/>
    <s v="Married"/>
    <x v="0"/>
    <x v="4"/>
    <x v="3"/>
    <x v="3"/>
    <x v="3"/>
    <x v="1"/>
    <n v="2"/>
    <s v="0-1 Miles"/>
    <x v="0"/>
    <x v="25"/>
    <x v="2"/>
    <x v="0"/>
  </r>
  <r>
    <x v="70"/>
    <s v="Married"/>
    <x v="1"/>
    <x v="7"/>
    <x v="3"/>
    <x v="3"/>
    <x v="2"/>
    <x v="0"/>
    <n v="4"/>
    <s v="10+ Miles"/>
    <x v="1"/>
    <x v="4"/>
    <x v="0"/>
    <x v="1"/>
  </r>
  <r>
    <x v="71"/>
    <s v="Single"/>
    <x v="0"/>
    <x v="4"/>
    <x v="3"/>
    <x v="3"/>
    <x v="3"/>
    <x v="1"/>
    <n v="2"/>
    <s v="0-1 Miles"/>
    <x v="0"/>
    <x v="11"/>
    <x v="0"/>
    <x v="0"/>
  </r>
  <r>
    <x v="72"/>
    <s v="Married"/>
    <x v="0"/>
    <x v="12"/>
    <x v="1"/>
    <x v="2"/>
    <x v="2"/>
    <x v="0"/>
    <n v="4"/>
    <s v="0-1 Miles"/>
    <x v="0"/>
    <x v="31"/>
    <x v="0"/>
    <x v="0"/>
  </r>
  <r>
    <x v="73"/>
    <s v="Single"/>
    <x v="0"/>
    <x v="6"/>
    <x v="3"/>
    <x v="1"/>
    <x v="3"/>
    <x v="1"/>
    <n v="1"/>
    <s v="2-5 Miles"/>
    <x v="0"/>
    <x v="4"/>
    <x v="0"/>
    <x v="1"/>
  </r>
  <r>
    <x v="74"/>
    <s v="Married"/>
    <x v="0"/>
    <x v="6"/>
    <x v="1"/>
    <x v="2"/>
    <x v="0"/>
    <x v="1"/>
    <n v="2"/>
    <s v="1-2 Miles"/>
    <x v="1"/>
    <x v="24"/>
    <x v="1"/>
    <x v="0"/>
  </r>
  <r>
    <x v="75"/>
    <s v="Single"/>
    <x v="0"/>
    <x v="12"/>
    <x v="5"/>
    <x v="2"/>
    <x v="4"/>
    <x v="0"/>
    <n v="4"/>
    <s v="0-1 Miles"/>
    <x v="1"/>
    <x v="23"/>
    <x v="0"/>
    <x v="0"/>
  </r>
  <r>
    <x v="76"/>
    <s v="Single"/>
    <x v="0"/>
    <x v="6"/>
    <x v="3"/>
    <x v="3"/>
    <x v="3"/>
    <x v="1"/>
    <n v="2"/>
    <s v="1-2 Miles"/>
    <x v="0"/>
    <x v="22"/>
    <x v="2"/>
    <x v="0"/>
  </r>
  <r>
    <x v="77"/>
    <s v="Married"/>
    <x v="1"/>
    <x v="2"/>
    <x v="3"/>
    <x v="0"/>
    <x v="2"/>
    <x v="0"/>
    <n v="2"/>
    <s v="10+ Miles"/>
    <x v="1"/>
    <x v="19"/>
    <x v="2"/>
    <x v="1"/>
  </r>
  <r>
    <x v="78"/>
    <s v="Married"/>
    <x v="1"/>
    <x v="2"/>
    <x v="4"/>
    <x v="2"/>
    <x v="0"/>
    <x v="1"/>
    <n v="2"/>
    <s v="1-2 Miles"/>
    <x v="1"/>
    <x v="5"/>
    <x v="0"/>
    <x v="1"/>
  </r>
  <r>
    <x v="79"/>
    <s v="Single"/>
    <x v="1"/>
    <x v="0"/>
    <x v="4"/>
    <x v="0"/>
    <x v="4"/>
    <x v="0"/>
    <n v="2"/>
    <s v="5-10 Miles"/>
    <x v="1"/>
    <x v="18"/>
    <x v="1"/>
    <x v="1"/>
  </r>
  <r>
    <x v="80"/>
    <s v="Married"/>
    <x v="0"/>
    <x v="1"/>
    <x v="5"/>
    <x v="4"/>
    <x v="1"/>
    <x v="0"/>
    <n v="0"/>
    <s v="0-1 Miles"/>
    <x v="0"/>
    <x v="12"/>
    <x v="0"/>
    <x v="1"/>
  </r>
  <r>
    <x v="81"/>
    <s v="Single"/>
    <x v="0"/>
    <x v="4"/>
    <x v="5"/>
    <x v="3"/>
    <x v="3"/>
    <x v="0"/>
    <n v="2"/>
    <s v="0-1 Miles"/>
    <x v="0"/>
    <x v="8"/>
    <x v="0"/>
    <x v="0"/>
  </r>
  <r>
    <x v="82"/>
    <s v="Married"/>
    <x v="1"/>
    <x v="1"/>
    <x v="3"/>
    <x v="0"/>
    <x v="1"/>
    <x v="0"/>
    <n v="0"/>
    <s v="0-1 Miles"/>
    <x v="0"/>
    <x v="15"/>
    <x v="0"/>
    <x v="1"/>
  </r>
  <r>
    <x v="83"/>
    <s v="Single"/>
    <x v="1"/>
    <x v="6"/>
    <x v="3"/>
    <x v="2"/>
    <x v="3"/>
    <x v="1"/>
    <n v="1"/>
    <s v="2-5 Miles"/>
    <x v="0"/>
    <x v="19"/>
    <x v="2"/>
    <x v="0"/>
  </r>
  <r>
    <x v="84"/>
    <s v="Single"/>
    <x v="1"/>
    <x v="0"/>
    <x v="4"/>
    <x v="0"/>
    <x v="4"/>
    <x v="1"/>
    <n v="1"/>
    <s v="5-10 Miles"/>
    <x v="1"/>
    <x v="31"/>
    <x v="0"/>
    <x v="1"/>
  </r>
  <r>
    <x v="85"/>
    <s v="Single"/>
    <x v="1"/>
    <x v="4"/>
    <x v="3"/>
    <x v="1"/>
    <x v="3"/>
    <x v="0"/>
    <n v="1"/>
    <s v="1-2 Miles"/>
    <x v="1"/>
    <x v="22"/>
    <x v="2"/>
    <x v="1"/>
  </r>
  <r>
    <x v="86"/>
    <s v="Single"/>
    <x v="1"/>
    <x v="12"/>
    <x v="1"/>
    <x v="1"/>
    <x v="2"/>
    <x v="1"/>
    <n v="3"/>
    <s v="0-1 Miles"/>
    <x v="0"/>
    <x v="36"/>
    <x v="0"/>
    <x v="1"/>
  </r>
  <r>
    <x v="87"/>
    <s v="Married"/>
    <x v="1"/>
    <x v="2"/>
    <x v="2"/>
    <x v="0"/>
    <x v="2"/>
    <x v="0"/>
    <n v="4"/>
    <s v="1-2 Miles"/>
    <x v="1"/>
    <x v="8"/>
    <x v="0"/>
    <x v="0"/>
  </r>
  <r>
    <x v="88"/>
    <s v="Single"/>
    <x v="1"/>
    <x v="1"/>
    <x v="3"/>
    <x v="1"/>
    <x v="1"/>
    <x v="1"/>
    <n v="1"/>
    <s v="2-5 Miles"/>
    <x v="0"/>
    <x v="19"/>
    <x v="2"/>
    <x v="0"/>
  </r>
  <r>
    <x v="89"/>
    <s v="Married"/>
    <x v="1"/>
    <x v="6"/>
    <x v="0"/>
    <x v="2"/>
    <x v="3"/>
    <x v="1"/>
    <n v="1"/>
    <s v="1-2 Miles"/>
    <x v="0"/>
    <x v="8"/>
    <x v="0"/>
    <x v="1"/>
  </r>
  <r>
    <x v="90"/>
    <s v="Single"/>
    <x v="0"/>
    <x v="1"/>
    <x v="3"/>
    <x v="1"/>
    <x v="1"/>
    <x v="1"/>
    <n v="1"/>
    <s v="0-1 Miles"/>
    <x v="0"/>
    <x v="19"/>
    <x v="2"/>
    <x v="1"/>
  </r>
  <r>
    <x v="91"/>
    <s v="Single"/>
    <x v="1"/>
    <x v="1"/>
    <x v="3"/>
    <x v="1"/>
    <x v="1"/>
    <x v="1"/>
    <n v="1"/>
    <s v="0-1 Miles"/>
    <x v="0"/>
    <x v="25"/>
    <x v="2"/>
    <x v="1"/>
  </r>
  <r>
    <x v="92"/>
    <s v="Single"/>
    <x v="0"/>
    <x v="10"/>
    <x v="4"/>
    <x v="0"/>
    <x v="2"/>
    <x v="0"/>
    <n v="1"/>
    <s v="2-5 Miles"/>
    <x v="1"/>
    <x v="34"/>
    <x v="0"/>
    <x v="1"/>
  </r>
  <r>
    <x v="93"/>
    <s v="Single"/>
    <x v="0"/>
    <x v="1"/>
    <x v="3"/>
    <x v="1"/>
    <x v="1"/>
    <x v="1"/>
    <n v="1"/>
    <s v="2-5 Miles"/>
    <x v="0"/>
    <x v="6"/>
    <x v="0"/>
    <x v="0"/>
  </r>
  <r>
    <x v="94"/>
    <s v="Single"/>
    <x v="0"/>
    <x v="1"/>
    <x v="1"/>
    <x v="2"/>
    <x v="0"/>
    <x v="0"/>
    <n v="2"/>
    <s v="5-10 Miles"/>
    <x v="1"/>
    <x v="10"/>
    <x v="1"/>
    <x v="0"/>
  </r>
  <r>
    <x v="95"/>
    <s v="Single"/>
    <x v="0"/>
    <x v="8"/>
    <x v="2"/>
    <x v="1"/>
    <x v="2"/>
    <x v="0"/>
    <n v="2"/>
    <s v="10+ Miles"/>
    <x v="0"/>
    <x v="24"/>
    <x v="1"/>
    <x v="0"/>
  </r>
  <r>
    <x v="96"/>
    <s v="Married"/>
    <x v="1"/>
    <x v="1"/>
    <x v="0"/>
    <x v="1"/>
    <x v="1"/>
    <x v="0"/>
    <n v="1"/>
    <s v="0-1 Miles"/>
    <x v="0"/>
    <x v="1"/>
    <x v="0"/>
    <x v="0"/>
  </r>
  <r>
    <x v="97"/>
    <s v="Married"/>
    <x v="1"/>
    <x v="0"/>
    <x v="0"/>
    <x v="0"/>
    <x v="0"/>
    <x v="0"/>
    <n v="1"/>
    <s v="0-1 Miles"/>
    <x v="0"/>
    <x v="20"/>
    <x v="0"/>
    <x v="1"/>
  </r>
  <r>
    <x v="98"/>
    <s v="Married"/>
    <x v="1"/>
    <x v="0"/>
    <x v="3"/>
    <x v="4"/>
    <x v="1"/>
    <x v="0"/>
    <n v="0"/>
    <s v="0-1 Miles"/>
    <x v="0"/>
    <x v="37"/>
    <x v="2"/>
    <x v="1"/>
  </r>
  <r>
    <x v="99"/>
    <s v="Married"/>
    <x v="0"/>
    <x v="6"/>
    <x v="1"/>
    <x v="2"/>
    <x v="3"/>
    <x v="0"/>
    <n v="2"/>
    <s v="0-1 Miles"/>
    <x v="0"/>
    <x v="1"/>
    <x v="0"/>
    <x v="0"/>
  </r>
  <r>
    <x v="100"/>
    <s v="Single"/>
    <x v="1"/>
    <x v="4"/>
    <x v="4"/>
    <x v="2"/>
    <x v="3"/>
    <x v="0"/>
    <n v="0"/>
    <s v="0-1 Miles"/>
    <x v="0"/>
    <x v="11"/>
    <x v="0"/>
    <x v="0"/>
  </r>
  <r>
    <x v="101"/>
    <s v="Single"/>
    <x v="1"/>
    <x v="10"/>
    <x v="1"/>
    <x v="0"/>
    <x v="2"/>
    <x v="1"/>
    <n v="2"/>
    <s v="0-1 Miles"/>
    <x v="1"/>
    <x v="1"/>
    <x v="0"/>
    <x v="1"/>
  </r>
  <r>
    <x v="102"/>
    <s v="Married"/>
    <x v="1"/>
    <x v="4"/>
    <x v="4"/>
    <x v="1"/>
    <x v="3"/>
    <x v="0"/>
    <n v="0"/>
    <s v="1-2 Miles"/>
    <x v="0"/>
    <x v="38"/>
    <x v="0"/>
    <x v="0"/>
  </r>
  <r>
    <x v="103"/>
    <s v="Single"/>
    <x v="1"/>
    <x v="10"/>
    <x v="0"/>
    <x v="1"/>
    <x v="0"/>
    <x v="0"/>
    <n v="1"/>
    <s v="5-10 Miles"/>
    <x v="1"/>
    <x v="12"/>
    <x v="0"/>
    <x v="0"/>
  </r>
  <r>
    <x v="104"/>
    <s v="Single"/>
    <x v="0"/>
    <x v="3"/>
    <x v="4"/>
    <x v="2"/>
    <x v="2"/>
    <x v="0"/>
    <n v="2"/>
    <s v="5-10 Miles"/>
    <x v="1"/>
    <x v="38"/>
    <x v="0"/>
    <x v="1"/>
  </r>
  <r>
    <x v="105"/>
    <s v="Single"/>
    <x v="0"/>
    <x v="1"/>
    <x v="3"/>
    <x v="1"/>
    <x v="1"/>
    <x v="1"/>
    <n v="1"/>
    <s v="2-5 Miles"/>
    <x v="0"/>
    <x v="25"/>
    <x v="2"/>
    <x v="0"/>
  </r>
  <r>
    <x v="106"/>
    <s v="Married"/>
    <x v="1"/>
    <x v="3"/>
    <x v="4"/>
    <x v="1"/>
    <x v="0"/>
    <x v="0"/>
    <n v="2"/>
    <s v="5-10 Miles"/>
    <x v="1"/>
    <x v="31"/>
    <x v="0"/>
    <x v="1"/>
  </r>
  <r>
    <x v="107"/>
    <s v="Single"/>
    <x v="0"/>
    <x v="0"/>
    <x v="4"/>
    <x v="1"/>
    <x v="0"/>
    <x v="1"/>
    <n v="2"/>
    <s v="1-2 Miles"/>
    <x v="1"/>
    <x v="39"/>
    <x v="0"/>
    <x v="1"/>
  </r>
  <r>
    <x v="108"/>
    <s v="Married"/>
    <x v="0"/>
    <x v="0"/>
    <x v="3"/>
    <x v="0"/>
    <x v="1"/>
    <x v="0"/>
    <n v="0"/>
    <s v="0-1 Miles"/>
    <x v="0"/>
    <x v="13"/>
    <x v="0"/>
    <x v="1"/>
  </r>
  <r>
    <x v="109"/>
    <s v="Single"/>
    <x v="1"/>
    <x v="0"/>
    <x v="3"/>
    <x v="0"/>
    <x v="2"/>
    <x v="1"/>
    <n v="0"/>
    <s v="0-1 Miles"/>
    <x v="0"/>
    <x v="32"/>
    <x v="0"/>
    <x v="1"/>
  </r>
  <r>
    <x v="110"/>
    <s v="Single"/>
    <x v="0"/>
    <x v="1"/>
    <x v="0"/>
    <x v="1"/>
    <x v="3"/>
    <x v="1"/>
    <n v="0"/>
    <s v="0-1 Miles"/>
    <x v="0"/>
    <x v="30"/>
    <x v="0"/>
    <x v="1"/>
  </r>
  <r>
    <x v="111"/>
    <s v="Single"/>
    <x v="0"/>
    <x v="3"/>
    <x v="3"/>
    <x v="0"/>
    <x v="2"/>
    <x v="1"/>
    <n v="1"/>
    <s v="5-10 Miles"/>
    <x v="1"/>
    <x v="13"/>
    <x v="0"/>
    <x v="0"/>
  </r>
  <r>
    <x v="112"/>
    <s v="Single"/>
    <x v="0"/>
    <x v="0"/>
    <x v="4"/>
    <x v="1"/>
    <x v="1"/>
    <x v="0"/>
    <n v="2"/>
    <s v="1-2 Miles"/>
    <x v="0"/>
    <x v="11"/>
    <x v="0"/>
    <x v="0"/>
  </r>
  <r>
    <x v="113"/>
    <s v="Single"/>
    <x v="0"/>
    <x v="12"/>
    <x v="0"/>
    <x v="4"/>
    <x v="4"/>
    <x v="1"/>
    <n v="1"/>
    <s v="0-1 Miles"/>
    <x v="1"/>
    <x v="4"/>
    <x v="0"/>
    <x v="1"/>
  </r>
  <r>
    <x v="114"/>
    <s v="Married"/>
    <x v="1"/>
    <x v="6"/>
    <x v="3"/>
    <x v="0"/>
    <x v="1"/>
    <x v="0"/>
    <n v="0"/>
    <s v="0-1 Miles"/>
    <x v="1"/>
    <x v="22"/>
    <x v="2"/>
    <x v="1"/>
  </r>
  <r>
    <x v="115"/>
    <s v="Single"/>
    <x v="1"/>
    <x v="4"/>
    <x v="3"/>
    <x v="4"/>
    <x v="3"/>
    <x v="1"/>
    <n v="0"/>
    <s v="0-1 Miles"/>
    <x v="0"/>
    <x v="25"/>
    <x v="2"/>
    <x v="1"/>
  </r>
  <r>
    <x v="116"/>
    <s v="Married"/>
    <x v="0"/>
    <x v="1"/>
    <x v="0"/>
    <x v="0"/>
    <x v="0"/>
    <x v="0"/>
    <n v="2"/>
    <s v="0-1 Miles"/>
    <x v="0"/>
    <x v="0"/>
    <x v="0"/>
    <x v="0"/>
  </r>
  <r>
    <x v="117"/>
    <s v="Single"/>
    <x v="0"/>
    <x v="6"/>
    <x v="3"/>
    <x v="2"/>
    <x v="3"/>
    <x v="0"/>
    <n v="0"/>
    <s v="0-1 Miles"/>
    <x v="0"/>
    <x v="8"/>
    <x v="0"/>
    <x v="1"/>
  </r>
  <r>
    <x v="118"/>
    <s v="Married"/>
    <x v="1"/>
    <x v="2"/>
    <x v="2"/>
    <x v="0"/>
    <x v="4"/>
    <x v="0"/>
    <n v="2"/>
    <s v="2-5 Miles"/>
    <x v="0"/>
    <x v="24"/>
    <x v="1"/>
    <x v="0"/>
  </r>
  <r>
    <x v="119"/>
    <s v="Single"/>
    <x v="0"/>
    <x v="1"/>
    <x v="3"/>
    <x v="1"/>
    <x v="1"/>
    <x v="1"/>
    <n v="1"/>
    <s v="2-5 Miles"/>
    <x v="0"/>
    <x v="19"/>
    <x v="2"/>
    <x v="0"/>
  </r>
  <r>
    <x v="120"/>
    <s v="Married"/>
    <x v="0"/>
    <x v="0"/>
    <x v="4"/>
    <x v="0"/>
    <x v="4"/>
    <x v="0"/>
    <n v="2"/>
    <s v="5-10 Miles"/>
    <x v="1"/>
    <x v="29"/>
    <x v="1"/>
    <x v="1"/>
  </r>
  <r>
    <x v="121"/>
    <s v="Married"/>
    <x v="1"/>
    <x v="13"/>
    <x v="4"/>
    <x v="2"/>
    <x v="2"/>
    <x v="0"/>
    <n v="4"/>
    <s v="0-1 Miles"/>
    <x v="0"/>
    <x v="28"/>
    <x v="0"/>
    <x v="0"/>
  </r>
  <r>
    <x v="122"/>
    <s v="Single"/>
    <x v="0"/>
    <x v="2"/>
    <x v="3"/>
    <x v="0"/>
    <x v="2"/>
    <x v="1"/>
    <n v="3"/>
    <s v="10+ Miles"/>
    <x v="1"/>
    <x v="23"/>
    <x v="0"/>
    <x v="0"/>
  </r>
  <r>
    <x v="123"/>
    <s v="Single"/>
    <x v="0"/>
    <x v="11"/>
    <x v="1"/>
    <x v="1"/>
    <x v="4"/>
    <x v="1"/>
    <n v="4"/>
    <s v="5-10 Miles"/>
    <x v="0"/>
    <x v="16"/>
    <x v="1"/>
    <x v="0"/>
  </r>
  <r>
    <x v="124"/>
    <s v="Single"/>
    <x v="0"/>
    <x v="0"/>
    <x v="3"/>
    <x v="0"/>
    <x v="1"/>
    <x v="1"/>
    <n v="0"/>
    <s v="0-1 Miles"/>
    <x v="0"/>
    <x v="13"/>
    <x v="0"/>
    <x v="1"/>
  </r>
  <r>
    <x v="125"/>
    <s v="Married"/>
    <x v="1"/>
    <x v="2"/>
    <x v="2"/>
    <x v="0"/>
    <x v="2"/>
    <x v="0"/>
    <n v="4"/>
    <s v="1-2 Miles"/>
    <x v="1"/>
    <x v="8"/>
    <x v="0"/>
    <x v="0"/>
  </r>
  <r>
    <x v="126"/>
    <s v="Single"/>
    <x v="1"/>
    <x v="1"/>
    <x v="3"/>
    <x v="1"/>
    <x v="1"/>
    <x v="0"/>
    <n v="1"/>
    <s v="2-5 Miles"/>
    <x v="0"/>
    <x v="21"/>
    <x v="0"/>
    <x v="0"/>
  </r>
  <r>
    <x v="127"/>
    <s v="Married"/>
    <x v="1"/>
    <x v="1"/>
    <x v="0"/>
    <x v="0"/>
    <x v="1"/>
    <x v="0"/>
    <n v="1"/>
    <s v="2-5 Miles"/>
    <x v="0"/>
    <x v="32"/>
    <x v="0"/>
    <x v="0"/>
  </r>
  <r>
    <x v="128"/>
    <s v="Single"/>
    <x v="1"/>
    <x v="4"/>
    <x v="4"/>
    <x v="1"/>
    <x v="3"/>
    <x v="0"/>
    <n v="1"/>
    <s v="0-1 Miles"/>
    <x v="0"/>
    <x v="31"/>
    <x v="0"/>
    <x v="1"/>
  </r>
  <r>
    <x v="129"/>
    <s v="Single"/>
    <x v="1"/>
    <x v="4"/>
    <x v="1"/>
    <x v="2"/>
    <x v="3"/>
    <x v="0"/>
    <n v="1"/>
    <s v="0-1 Miles"/>
    <x v="0"/>
    <x v="32"/>
    <x v="0"/>
    <x v="1"/>
  </r>
  <r>
    <x v="130"/>
    <s v="Married"/>
    <x v="1"/>
    <x v="10"/>
    <x v="4"/>
    <x v="0"/>
    <x v="2"/>
    <x v="0"/>
    <n v="1"/>
    <s v="2-5 Miles"/>
    <x v="1"/>
    <x v="34"/>
    <x v="0"/>
    <x v="0"/>
  </r>
  <r>
    <x v="131"/>
    <s v="Married"/>
    <x v="1"/>
    <x v="8"/>
    <x v="5"/>
    <x v="2"/>
    <x v="4"/>
    <x v="0"/>
    <n v="3"/>
    <s v="5-10 Miles"/>
    <x v="0"/>
    <x v="16"/>
    <x v="1"/>
    <x v="1"/>
  </r>
  <r>
    <x v="132"/>
    <s v="Married"/>
    <x v="1"/>
    <x v="0"/>
    <x v="3"/>
    <x v="0"/>
    <x v="2"/>
    <x v="0"/>
    <n v="0"/>
    <s v="0-1 Miles"/>
    <x v="0"/>
    <x v="8"/>
    <x v="0"/>
    <x v="1"/>
  </r>
  <r>
    <x v="133"/>
    <s v="Single"/>
    <x v="1"/>
    <x v="0"/>
    <x v="4"/>
    <x v="0"/>
    <x v="4"/>
    <x v="0"/>
    <n v="2"/>
    <s v="5-10 Miles"/>
    <x v="1"/>
    <x v="27"/>
    <x v="1"/>
    <x v="1"/>
  </r>
  <r>
    <x v="134"/>
    <s v="Single"/>
    <x v="0"/>
    <x v="1"/>
    <x v="4"/>
    <x v="1"/>
    <x v="1"/>
    <x v="0"/>
    <n v="2"/>
    <s v="0-1 Miles"/>
    <x v="0"/>
    <x v="0"/>
    <x v="0"/>
    <x v="0"/>
  </r>
  <r>
    <x v="135"/>
    <s v="Married"/>
    <x v="1"/>
    <x v="4"/>
    <x v="4"/>
    <x v="1"/>
    <x v="3"/>
    <x v="0"/>
    <n v="1"/>
    <s v="2-5 Miles"/>
    <x v="0"/>
    <x v="31"/>
    <x v="0"/>
    <x v="0"/>
  </r>
  <r>
    <x v="136"/>
    <s v="Single"/>
    <x v="0"/>
    <x v="4"/>
    <x v="0"/>
    <x v="2"/>
    <x v="3"/>
    <x v="1"/>
    <n v="1"/>
    <s v="5-10 Miles"/>
    <x v="0"/>
    <x v="11"/>
    <x v="0"/>
    <x v="1"/>
  </r>
  <r>
    <x v="137"/>
    <s v="Single"/>
    <x v="1"/>
    <x v="6"/>
    <x v="4"/>
    <x v="2"/>
    <x v="3"/>
    <x v="0"/>
    <n v="2"/>
    <s v="0-1 Miles"/>
    <x v="0"/>
    <x v="0"/>
    <x v="0"/>
    <x v="0"/>
  </r>
  <r>
    <x v="138"/>
    <s v="Married"/>
    <x v="0"/>
    <x v="6"/>
    <x v="4"/>
    <x v="3"/>
    <x v="1"/>
    <x v="0"/>
    <n v="2"/>
    <s v="5-10 Miles"/>
    <x v="1"/>
    <x v="10"/>
    <x v="1"/>
    <x v="1"/>
  </r>
  <r>
    <x v="139"/>
    <s v="Single"/>
    <x v="0"/>
    <x v="1"/>
    <x v="4"/>
    <x v="1"/>
    <x v="1"/>
    <x v="1"/>
    <n v="2"/>
    <s v="5-10 Miles"/>
    <x v="1"/>
    <x v="2"/>
    <x v="1"/>
    <x v="1"/>
  </r>
  <r>
    <x v="140"/>
    <s v="Single"/>
    <x v="1"/>
    <x v="0"/>
    <x v="3"/>
    <x v="0"/>
    <x v="2"/>
    <x v="1"/>
    <n v="0"/>
    <s v="0-1 Miles"/>
    <x v="0"/>
    <x v="8"/>
    <x v="0"/>
    <x v="1"/>
  </r>
  <r>
    <x v="141"/>
    <s v="Single"/>
    <x v="0"/>
    <x v="4"/>
    <x v="3"/>
    <x v="1"/>
    <x v="3"/>
    <x v="1"/>
    <n v="1"/>
    <s v="0-1 Miles"/>
    <x v="1"/>
    <x v="22"/>
    <x v="2"/>
    <x v="1"/>
  </r>
  <r>
    <x v="142"/>
    <s v="Married"/>
    <x v="1"/>
    <x v="0"/>
    <x v="0"/>
    <x v="0"/>
    <x v="0"/>
    <x v="0"/>
    <n v="0"/>
    <s v="0-1 Miles"/>
    <x v="0"/>
    <x v="0"/>
    <x v="0"/>
    <x v="1"/>
  </r>
  <r>
    <x v="143"/>
    <s v="Married"/>
    <x v="0"/>
    <x v="2"/>
    <x v="3"/>
    <x v="0"/>
    <x v="2"/>
    <x v="0"/>
    <n v="3"/>
    <s v="10+ Miles"/>
    <x v="1"/>
    <x v="21"/>
    <x v="0"/>
    <x v="0"/>
  </r>
  <r>
    <x v="144"/>
    <s v="Single"/>
    <x v="1"/>
    <x v="1"/>
    <x v="0"/>
    <x v="0"/>
    <x v="1"/>
    <x v="0"/>
    <n v="0"/>
    <s v="1-2 Miles"/>
    <x v="0"/>
    <x v="34"/>
    <x v="0"/>
    <x v="1"/>
  </r>
  <r>
    <x v="145"/>
    <s v="Married"/>
    <x v="0"/>
    <x v="0"/>
    <x v="4"/>
    <x v="1"/>
    <x v="1"/>
    <x v="1"/>
    <n v="1"/>
    <s v="0-1 Miles"/>
    <x v="0"/>
    <x v="17"/>
    <x v="0"/>
    <x v="0"/>
  </r>
  <r>
    <x v="146"/>
    <s v="Married"/>
    <x v="1"/>
    <x v="0"/>
    <x v="3"/>
    <x v="4"/>
    <x v="1"/>
    <x v="0"/>
    <n v="0"/>
    <s v="0-1 Miles"/>
    <x v="0"/>
    <x v="34"/>
    <x v="0"/>
    <x v="1"/>
  </r>
  <r>
    <x v="147"/>
    <s v="Married"/>
    <x v="0"/>
    <x v="0"/>
    <x v="3"/>
    <x v="0"/>
    <x v="2"/>
    <x v="1"/>
    <n v="0"/>
    <s v="0-1 Miles"/>
    <x v="0"/>
    <x v="8"/>
    <x v="0"/>
    <x v="1"/>
  </r>
  <r>
    <x v="148"/>
    <s v="Married"/>
    <x v="1"/>
    <x v="6"/>
    <x v="5"/>
    <x v="2"/>
    <x v="0"/>
    <x v="0"/>
    <n v="2"/>
    <s v="5-10 Miles"/>
    <x v="1"/>
    <x v="2"/>
    <x v="1"/>
    <x v="0"/>
  </r>
  <r>
    <x v="149"/>
    <s v="Single"/>
    <x v="1"/>
    <x v="1"/>
    <x v="3"/>
    <x v="1"/>
    <x v="1"/>
    <x v="1"/>
    <n v="1"/>
    <s v="1-2 Miles"/>
    <x v="0"/>
    <x v="40"/>
    <x v="2"/>
    <x v="0"/>
  </r>
  <r>
    <x v="150"/>
    <s v="Married"/>
    <x v="1"/>
    <x v="10"/>
    <x v="0"/>
    <x v="1"/>
    <x v="0"/>
    <x v="0"/>
    <n v="1"/>
    <s v="5-10 Miles"/>
    <x v="1"/>
    <x v="1"/>
    <x v="0"/>
    <x v="1"/>
  </r>
  <r>
    <x v="151"/>
    <s v="Single"/>
    <x v="1"/>
    <x v="11"/>
    <x v="0"/>
    <x v="0"/>
    <x v="4"/>
    <x v="1"/>
    <n v="3"/>
    <s v="0-1 Miles"/>
    <x v="1"/>
    <x v="28"/>
    <x v="0"/>
    <x v="0"/>
  </r>
  <r>
    <x v="152"/>
    <s v="Single"/>
    <x v="0"/>
    <x v="6"/>
    <x v="3"/>
    <x v="3"/>
    <x v="3"/>
    <x v="1"/>
    <n v="2"/>
    <s v="1-2 Miles"/>
    <x v="0"/>
    <x v="21"/>
    <x v="0"/>
    <x v="0"/>
  </r>
  <r>
    <x v="153"/>
    <s v="Married"/>
    <x v="1"/>
    <x v="11"/>
    <x v="0"/>
    <x v="0"/>
    <x v="4"/>
    <x v="0"/>
    <n v="3"/>
    <s v="2-5 Miles"/>
    <x v="1"/>
    <x v="15"/>
    <x v="0"/>
    <x v="0"/>
  </r>
  <r>
    <x v="154"/>
    <s v="Single"/>
    <x v="1"/>
    <x v="2"/>
    <x v="2"/>
    <x v="4"/>
    <x v="4"/>
    <x v="0"/>
    <n v="3"/>
    <s v="0-1 Miles"/>
    <x v="1"/>
    <x v="8"/>
    <x v="0"/>
    <x v="0"/>
  </r>
  <r>
    <x v="155"/>
    <s v="Single"/>
    <x v="0"/>
    <x v="4"/>
    <x v="5"/>
    <x v="3"/>
    <x v="3"/>
    <x v="0"/>
    <n v="2"/>
    <s v="0-1 Miles"/>
    <x v="0"/>
    <x v="3"/>
    <x v="0"/>
    <x v="1"/>
  </r>
  <r>
    <x v="156"/>
    <s v="Married"/>
    <x v="0"/>
    <x v="12"/>
    <x v="2"/>
    <x v="1"/>
    <x v="2"/>
    <x v="0"/>
    <n v="4"/>
    <s v="0-1 Miles"/>
    <x v="0"/>
    <x v="14"/>
    <x v="1"/>
    <x v="0"/>
  </r>
  <r>
    <x v="157"/>
    <s v="Single"/>
    <x v="1"/>
    <x v="4"/>
    <x v="4"/>
    <x v="1"/>
    <x v="3"/>
    <x v="1"/>
    <n v="0"/>
    <s v="0-1 Miles"/>
    <x v="0"/>
    <x v="5"/>
    <x v="0"/>
    <x v="0"/>
  </r>
  <r>
    <x v="158"/>
    <s v="Single"/>
    <x v="0"/>
    <x v="6"/>
    <x v="4"/>
    <x v="1"/>
    <x v="3"/>
    <x v="1"/>
    <n v="1"/>
    <s v="0-1 Miles"/>
    <x v="0"/>
    <x v="9"/>
    <x v="0"/>
    <x v="1"/>
  </r>
  <r>
    <x v="159"/>
    <s v="Married"/>
    <x v="0"/>
    <x v="4"/>
    <x v="0"/>
    <x v="0"/>
    <x v="3"/>
    <x v="0"/>
    <n v="0"/>
    <s v="0-1 Miles"/>
    <x v="0"/>
    <x v="28"/>
    <x v="0"/>
    <x v="0"/>
  </r>
  <r>
    <x v="160"/>
    <s v="Single"/>
    <x v="0"/>
    <x v="10"/>
    <x v="0"/>
    <x v="0"/>
    <x v="2"/>
    <x v="0"/>
    <n v="1"/>
    <s v="5-10 Miles"/>
    <x v="1"/>
    <x v="20"/>
    <x v="0"/>
    <x v="1"/>
  </r>
  <r>
    <x v="161"/>
    <s v="Married"/>
    <x v="0"/>
    <x v="6"/>
    <x v="4"/>
    <x v="2"/>
    <x v="3"/>
    <x v="0"/>
    <n v="0"/>
    <s v="0-1 Miles"/>
    <x v="0"/>
    <x v="8"/>
    <x v="0"/>
    <x v="1"/>
  </r>
  <r>
    <x v="162"/>
    <s v="Single"/>
    <x v="0"/>
    <x v="10"/>
    <x v="4"/>
    <x v="0"/>
    <x v="2"/>
    <x v="1"/>
    <n v="1"/>
    <s v="0-1 Miles"/>
    <x v="1"/>
    <x v="13"/>
    <x v="0"/>
    <x v="1"/>
  </r>
  <r>
    <x v="163"/>
    <s v="Single"/>
    <x v="1"/>
    <x v="0"/>
    <x v="4"/>
    <x v="1"/>
    <x v="0"/>
    <x v="1"/>
    <n v="2"/>
    <s v="1-2 Miles"/>
    <x v="1"/>
    <x v="31"/>
    <x v="0"/>
    <x v="0"/>
  </r>
  <r>
    <x v="164"/>
    <s v="Married"/>
    <x v="1"/>
    <x v="4"/>
    <x v="3"/>
    <x v="1"/>
    <x v="3"/>
    <x v="0"/>
    <n v="1"/>
    <s v="2-5 Miles"/>
    <x v="1"/>
    <x v="37"/>
    <x v="2"/>
    <x v="1"/>
  </r>
  <r>
    <x v="165"/>
    <s v="Married"/>
    <x v="0"/>
    <x v="4"/>
    <x v="3"/>
    <x v="1"/>
    <x v="3"/>
    <x v="1"/>
    <n v="1"/>
    <s v="0-1 Miles"/>
    <x v="1"/>
    <x v="37"/>
    <x v="2"/>
    <x v="0"/>
  </r>
  <r>
    <x v="166"/>
    <s v="Single"/>
    <x v="1"/>
    <x v="8"/>
    <x v="0"/>
    <x v="0"/>
    <x v="2"/>
    <x v="0"/>
    <n v="1"/>
    <s v="2-5 Miles"/>
    <x v="1"/>
    <x v="15"/>
    <x v="0"/>
    <x v="1"/>
  </r>
  <r>
    <x v="167"/>
    <s v="Single"/>
    <x v="1"/>
    <x v="11"/>
    <x v="3"/>
    <x v="2"/>
    <x v="4"/>
    <x v="0"/>
    <n v="3"/>
    <s v="10+ Miles"/>
    <x v="1"/>
    <x v="11"/>
    <x v="0"/>
    <x v="0"/>
  </r>
  <r>
    <x v="168"/>
    <s v="Single"/>
    <x v="1"/>
    <x v="3"/>
    <x v="3"/>
    <x v="0"/>
    <x v="2"/>
    <x v="1"/>
    <n v="1"/>
    <s v="5-10 Miles"/>
    <x v="1"/>
    <x v="3"/>
    <x v="0"/>
    <x v="1"/>
  </r>
  <r>
    <x v="169"/>
    <s v="Married"/>
    <x v="1"/>
    <x v="1"/>
    <x v="0"/>
    <x v="0"/>
    <x v="1"/>
    <x v="0"/>
    <n v="0"/>
    <s v="0-1 Miles"/>
    <x v="0"/>
    <x v="15"/>
    <x v="0"/>
    <x v="0"/>
  </r>
  <r>
    <x v="170"/>
    <s v="Married"/>
    <x v="0"/>
    <x v="12"/>
    <x v="5"/>
    <x v="1"/>
    <x v="2"/>
    <x v="0"/>
    <n v="4"/>
    <s v="5-10 Miles"/>
    <x v="0"/>
    <x v="33"/>
    <x v="1"/>
    <x v="1"/>
  </r>
  <r>
    <x v="171"/>
    <s v="Married"/>
    <x v="0"/>
    <x v="2"/>
    <x v="2"/>
    <x v="0"/>
    <x v="4"/>
    <x v="0"/>
    <n v="2"/>
    <s v="2-5 Miles"/>
    <x v="0"/>
    <x v="33"/>
    <x v="1"/>
    <x v="0"/>
  </r>
  <r>
    <x v="172"/>
    <s v="Married"/>
    <x v="1"/>
    <x v="4"/>
    <x v="3"/>
    <x v="3"/>
    <x v="3"/>
    <x v="1"/>
    <n v="2"/>
    <s v="0-1 Miles"/>
    <x v="0"/>
    <x v="6"/>
    <x v="0"/>
    <x v="0"/>
  </r>
  <r>
    <x v="173"/>
    <s v="Married"/>
    <x v="0"/>
    <x v="4"/>
    <x v="3"/>
    <x v="1"/>
    <x v="3"/>
    <x v="0"/>
    <n v="1"/>
    <s v="2-5 Miles"/>
    <x v="1"/>
    <x v="40"/>
    <x v="2"/>
    <x v="0"/>
  </r>
  <r>
    <x v="174"/>
    <s v="Single"/>
    <x v="1"/>
    <x v="14"/>
    <x v="3"/>
    <x v="4"/>
    <x v="0"/>
    <x v="0"/>
    <n v="0"/>
    <s v="0-1 Miles"/>
    <x v="0"/>
    <x v="34"/>
    <x v="0"/>
    <x v="1"/>
  </r>
  <r>
    <x v="175"/>
    <s v="Single"/>
    <x v="0"/>
    <x v="2"/>
    <x v="4"/>
    <x v="1"/>
    <x v="0"/>
    <x v="0"/>
    <n v="2"/>
    <s v="5-10 Miles"/>
    <x v="1"/>
    <x v="31"/>
    <x v="0"/>
    <x v="1"/>
  </r>
  <r>
    <x v="176"/>
    <s v="Single"/>
    <x v="0"/>
    <x v="6"/>
    <x v="3"/>
    <x v="1"/>
    <x v="3"/>
    <x v="0"/>
    <n v="0"/>
    <s v="0-1 Miles"/>
    <x v="1"/>
    <x v="19"/>
    <x v="2"/>
    <x v="1"/>
  </r>
  <r>
    <x v="177"/>
    <s v="Single"/>
    <x v="0"/>
    <x v="15"/>
    <x v="4"/>
    <x v="1"/>
    <x v="2"/>
    <x v="1"/>
    <n v="3"/>
    <s v="5-10 Miles"/>
    <x v="0"/>
    <x v="28"/>
    <x v="0"/>
    <x v="0"/>
  </r>
  <r>
    <x v="178"/>
    <s v="Married"/>
    <x v="1"/>
    <x v="5"/>
    <x v="5"/>
    <x v="1"/>
    <x v="2"/>
    <x v="1"/>
    <n v="2"/>
    <s v="10+ Miles"/>
    <x v="0"/>
    <x v="10"/>
    <x v="1"/>
    <x v="1"/>
  </r>
  <r>
    <x v="179"/>
    <s v="Married"/>
    <x v="0"/>
    <x v="4"/>
    <x v="3"/>
    <x v="4"/>
    <x v="3"/>
    <x v="0"/>
    <n v="0"/>
    <s v="0-1 Miles"/>
    <x v="0"/>
    <x v="34"/>
    <x v="0"/>
    <x v="1"/>
  </r>
  <r>
    <x v="180"/>
    <s v="Single"/>
    <x v="1"/>
    <x v="4"/>
    <x v="0"/>
    <x v="4"/>
    <x v="3"/>
    <x v="0"/>
    <n v="0"/>
    <s v="0-1 Miles"/>
    <x v="0"/>
    <x v="20"/>
    <x v="0"/>
    <x v="0"/>
  </r>
  <r>
    <x v="181"/>
    <s v="Married"/>
    <x v="0"/>
    <x v="1"/>
    <x v="1"/>
    <x v="1"/>
    <x v="1"/>
    <x v="1"/>
    <n v="2"/>
    <s v="1-2 Miles"/>
    <x v="1"/>
    <x v="10"/>
    <x v="1"/>
    <x v="1"/>
  </r>
  <r>
    <x v="182"/>
    <s v="Married"/>
    <x v="0"/>
    <x v="4"/>
    <x v="4"/>
    <x v="2"/>
    <x v="3"/>
    <x v="1"/>
    <n v="1"/>
    <s v="0-1 Miles"/>
    <x v="0"/>
    <x v="13"/>
    <x v="0"/>
    <x v="0"/>
  </r>
  <r>
    <x v="183"/>
    <s v="Single"/>
    <x v="1"/>
    <x v="0"/>
    <x v="4"/>
    <x v="0"/>
    <x v="4"/>
    <x v="0"/>
    <n v="2"/>
    <s v="5-10 Miles"/>
    <x v="1"/>
    <x v="29"/>
    <x v="1"/>
    <x v="1"/>
  </r>
  <r>
    <x v="184"/>
    <s v="Married"/>
    <x v="0"/>
    <x v="12"/>
    <x v="5"/>
    <x v="2"/>
    <x v="4"/>
    <x v="1"/>
    <n v="4"/>
    <s v="10+ Miles"/>
    <x v="0"/>
    <x v="7"/>
    <x v="1"/>
    <x v="0"/>
  </r>
  <r>
    <x v="185"/>
    <s v="Married"/>
    <x v="0"/>
    <x v="8"/>
    <x v="0"/>
    <x v="0"/>
    <x v="2"/>
    <x v="0"/>
    <n v="1"/>
    <s v="2-5 Miles"/>
    <x v="1"/>
    <x v="15"/>
    <x v="0"/>
    <x v="1"/>
  </r>
  <r>
    <x v="186"/>
    <s v="Married"/>
    <x v="0"/>
    <x v="1"/>
    <x v="1"/>
    <x v="2"/>
    <x v="0"/>
    <x v="1"/>
    <n v="2"/>
    <s v="1-2 Miles"/>
    <x v="1"/>
    <x v="16"/>
    <x v="1"/>
    <x v="1"/>
  </r>
  <r>
    <x v="187"/>
    <s v="Single"/>
    <x v="1"/>
    <x v="2"/>
    <x v="2"/>
    <x v="1"/>
    <x v="2"/>
    <x v="1"/>
    <n v="2"/>
    <s v="10+ Miles"/>
    <x v="0"/>
    <x v="14"/>
    <x v="1"/>
    <x v="0"/>
  </r>
  <r>
    <x v="188"/>
    <s v="Married"/>
    <x v="0"/>
    <x v="3"/>
    <x v="3"/>
    <x v="0"/>
    <x v="2"/>
    <x v="0"/>
    <n v="4"/>
    <s v="10+ Miles"/>
    <x v="1"/>
    <x v="21"/>
    <x v="0"/>
    <x v="1"/>
  </r>
  <r>
    <x v="189"/>
    <s v="Married"/>
    <x v="1"/>
    <x v="1"/>
    <x v="0"/>
    <x v="1"/>
    <x v="1"/>
    <x v="0"/>
    <n v="1"/>
    <s v="0-1 Miles"/>
    <x v="0"/>
    <x v="20"/>
    <x v="0"/>
    <x v="1"/>
  </r>
  <r>
    <x v="190"/>
    <s v="Married"/>
    <x v="1"/>
    <x v="1"/>
    <x v="1"/>
    <x v="2"/>
    <x v="0"/>
    <x v="0"/>
    <n v="2"/>
    <s v="5-10 Miles"/>
    <x v="1"/>
    <x v="10"/>
    <x v="1"/>
    <x v="0"/>
  </r>
  <r>
    <x v="191"/>
    <s v="Single"/>
    <x v="1"/>
    <x v="8"/>
    <x v="4"/>
    <x v="2"/>
    <x v="3"/>
    <x v="0"/>
    <n v="0"/>
    <s v="0-1 Miles"/>
    <x v="0"/>
    <x v="4"/>
    <x v="0"/>
    <x v="1"/>
  </r>
  <r>
    <x v="192"/>
    <s v="Single"/>
    <x v="0"/>
    <x v="2"/>
    <x v="2"/>
    <x v="0"/>
    <x v="4"/>
    <x v="0"/>
    <n v="2"/>
    <s v="10+ Miles"/>
    <x v="0"/>
    <x v="24"/>
    <x v="1"/>
    <x v="0"/>
  </r>
  <r>
    <x v="193"/>
    <s v="Married"/>
    <x v="0"/>
    <x v="3"/>
    <x v="2"/>
    <x v="0"/>
    <x v="2"/>
    <x v="0"/>
    <n v="4"/>
    <s v="10+ Miles"/>
    <x v="1"/>
    <x v="3"/>
    <x v="0"/>
    <x v="0"/>
  </r>
  <r>
    <x v="194"/>
    <s v="Single"/>
    <x v="0"/>
    <x v="4"/>
    <x v="3"/>
    <x v="3"/>
    <x v="3"/>
    <x v="1"/>
    <n v="2"/>
    <s v="0-1 Miles"/>
    <x v="0"/>
    <x v="21"/>
    <x v="0"/>
    <x v="0"/>
  </r>
  <r>
    <x v="195"/>
    <s v="Single"/>
    <x v="1"/>
    <x v="6"/>
    <x v="3"/>
    <x v="0"/>
    <x v="1"/>
    <x v="0"/>
    <n v="0"/>
    <s v="0-1 Miles"/>
    <x v="1"/>
    <x v="37"/>
    <x v="2"/>
    <x v="1"/>
  </r>
  <r>
    <x v="196"/>
    <s v="Single"/>
    <x v="0"/>
    <x v="14"/>
    <x v="3"/>
    <x v="4"/>
    <x v="0"/>
    <x v="0"/>
    <n v="0"/>
    <s v="1-2 Miles"/>
    <x v="0"/>
    <x v="4"/>
    <x v="0"/>
    <x v="0"/>
  </r>
  <r>
    <x v="197"/>
    <s v="Married"/>
    <x v="1"/>
    <x v="10"/>
    <x v="4"/>
    <x v="4"/>
    <x v="4"/>
    <x v="0"/>
    <n v="1"/>
    <s v="0-1 Miles"/>
    <x v="1"/>
    <x v="41"/>
    <x v="1"/>
    <x v="1"/>
  </r>
  <r>
    <x v="198"/>
    <s v="Single"/>
    <x v="0"/>
    <x v="11"/>
    <x v="3"/>
    <x v="4"/>
    <x v="4"/>
    <x v="1"/>
    <n v="1"/>
    <s v="1-2 Miles"/>
    <x v="1"/>
    <x v="32"/>
    <x v="0"/>
    <x v="1"/>
  </r>
  <r>
    <x v="199"/>
    <s v="Single"/>
    <x v="1"/>
    <x v="2"/>
    <x v="3"/>
    <x v="0"/>
    <x v="2"/>
    <x v="1"/>
    <n v="3"/>
    <s v="10+ Miles"/>
    <x v="1"/>
    <x v="6"/>
    <x v="0"/>
    <x v="1"/>
  </r>
  <r>
    <x v="200"/>
    <s v="Single"/>
    <x v="1"/>
    <x v="10"/>
    <x v="3"/>
    <x v="0"/>
    <x v="2"/>
    <x v="1"/>
    <n v="3"/>
    <s v="2-5 Miles"/>
    <x v="1"/>
    <x v="23"/>
    <x v="0"/>
    <x v="0"/>
  </r>
  <r>
    <x v="201"/>
    <s v="Married"/>
    <x v="1"/>
    <x v="4"/>
    <x v="0"/>
    <x v="2"/>
    <x v="3"/>
    <x v="0"/>
    <n v="0"/>
    <s v="2-5 Miles"/>
    <x v="1"/>
    <x v="40"/>
    <x v="2"/>
    <x v="1"/>
  </r>
  <r>
    <x v="202"/>
    <s v="Single"/>
    <x v="1"/>
    <x v="0"/>
    <x v="4"/>
    <x v="1"/>
    <x v="1"/>
    <x v="0"/>
    <n v="0"/>
    <s v="1-2 Miles"/>
    <x v="0"/>
    <x v="6"/>
    <x v="0"/>
    <x v="1"/>
  </r>
  <r>
    <x v="203"/>
    <s v="Single"/>
    <x v="0"/>
    <x v="10"/>
    <x v="0"/>
    <x v="1"/>
    <x v="0"/>
    <x v="0"/>
    <n v="1"/>
    <s v="5-10 Miles"/>
    <x v="1"/>
    <x v="30"/>
    <x v="0"/>
    <x v="1"/>
  </r>
  <r>
    <x v="204"/>
    <s v="Single"/>
    <x v="0"/>
    <x v="8"/>
    <x v="1"/>
    <x v="2"/>
    <x v="2"/>
    <x v="1"/>
    <n v="1"/>
    <s v="2-5 Miles"/>
    <x v="0"/>
    <x v="36"/>
    <x v="0"/>
    <x v="0"/>
  </r>
  <r>
    <x v="205"/>
    <s v="Married"/>
    <x v="1"/>
    <x v="1"/>
    <x v="1"/>
    <x v="4"/>
    <x v="1"/>
    <x v="0"/>
    <n v="0"/>
    <s v="0-1 Miles"/>
    <x v="0"/>
    <x v="30"/>
    <x v="0"/>
    <x v="1"/>
  </r>
  <r>
    <x v="206"/>
    <s v="Single"/>
    <x v="1"/>
    <x v="8"/>
    <x v="2"/>
    <x v="1"/>
    <x v="2"/>
    <x v="1"/>
    <n v="2"/>
    <s v="10+ Miles"/>
    <x v="0"/>
    <x v="24"/>
    <x v="1"/>
    <x v="0"/>
  </r>
  <r>
    <x v="207"/>
    <s v="Single"/>
    <x v="0"/>
    <x v="6"/>
    <x v="3"/>
    <x v="3"/>
    <x v="3"/>
    <x v="0"/>
    <n v="2"/>
    <s v="1-2 Miles"/>
    <x v="0"/>
    <x v="22"/>
    <x v="2"/>
    <x v="1"/>
  </r>
  <r>
    <x v="208"/>
    <s v="Single"/>
    <x v="0"/>
    <x v="0"/>
    <x v="3"/>
    <x v="4"/>
    <x v="1"/>
    <x v="0"/>
    <n v="0"/>
    <s v="0-1 Miles"/>
    <x v="0"/>
    <x v="34"/>
    <x v="0"/>
    <x v="1"/>
  </r>
  <r>
    <x v="209"/>
    <s v="Single"/>
    <x v="0"/>
    <x v="1"/>
    <x v="1"/>
    <x v="1"/>
    <x v="1"/>
    <x v="0"/>
    <n v="0"/>
    <s v="0-1 Miles"/>
    <x v="0"/>
    <x v="0"/>
    <x v="0"/>
    <x v="1"/>
  </r>
  <r>
    <x v="210"/>
    <s v="Married"/>
    <x v="0"/>
    <x v="2"/>
    <x v="5"/>
    <x v="4"/>
    <x v="4"/>
    <x v="0"/>
    <n v="1"/>
    <s v="0-1 Miles"/>
    <x v="1"/>
    <x v="4"/>
    <x v="0"/>
    <x v="0"/>
  </r>
  <r>
    <x v="211"/>
    <s v="Married"/>
    <x v="0"/>
    <x v="14"/>
    <x v="3"/>
    <x v="4"/>
    <x v="0"/>
    <x v="0"/>
    <n v="0"/>
    <s v="0-1 Miles"/>
    <x v="0"/>
    <x v="4"/>
    <x v="0"/>
    <x v="1"/>
  </r>
  <r>
    <x v="212"/>
    <s v="Single"/>
    <x v="0"/>
    <x v="1"/>
    <x v="3"/>
    <x v="1"/>
    <x v="1"/>
    <x v="1"/>
    <n v="1"/>
    <s v="2-5 Miles"/>
    <x v="0"/>
    <x v="25"/>
    <x v="2"/>
    <x v="0"/>
  </r>
  <r>
    <x v="213"/>
    <s v="Single"/>
    <x v="1"/>
    <x v="3"/>
    <x v="3"/>
    <x v="0"/>
    <x v="2"/>
    <x v="1"/>
    <n v="4"/>
    <s v="10+ Miles"/>
    <x v="1"/>
    <x v="23"/>
    <x v="0"/>
    <x v="1"/>
  </r>
  <r>
    <x v="214"/>
    <s v="Married"/>
    <x v="1"/>
    <x v="1"/>
    <x v="0"/>
    <x v="0"/>
    <x v="1"/>
    <x v="0"/>
    <n v="0"/>
    <s v="0-1 Miles"/>
    <x v="0"/>
    <x v="27"/>
    <x v="1"/>
    <x v="1"/>
  </r>
  <r>
    <x v="215"/>
    <s v="Single"/>
    <x v="1"/>
    <x v="2"/>
    <x v="5"/>
    <x v="1"/>
    <x v="2"/>
    <x v="1"/>
    <n v="2"/>
    <s v="2-5 Miles"/>
    <x v="0"/>
    <x v="9"/>
    <x v="0"/>
    <x v="1"/>
  </r>
  <r>
    <x v="216"/>
    <s v="Married"/>
    <x v="1"/>
    <x v="6"/>
    <x v="4"/>
    <x v="3"/>
    <x v="1"/>
    <x v="0"/>
    <n v="3"/>
    <s v="5-10 Miles"/>
    <x v="1"/>
    <x v="9"/>
    <x v="0"/>
    <x v="0"/>
  </r>
  <r>
    <x v="217"/>
    <s v="Single"/>
    <x v="0"/>
    <x v="6"/>
    <x v="3"/>
    <x v="3"/>
    <x v="3"/>
    <x v="1"/>
    <n v="2"/>
    <s v="0-1 Miles"/>
    <x v="0"/>
    <x v="37"/>
    <x v="2"/>
    <x v="0"/>
  </r>
  <r>
    <x v="218"/>
    <s v="Single"/>
    <x v="1"/>
    <x v="4"/>
    <x v="0"/>
    <x v="0"/>
    <x v="3"/>
    <x v="0"/>
    <n v="0"/>
    <s v="0-1 Miles"/>
    <x v="0"/>
    <x v="28"/>
    <x v="0"/>
    <x v="0"/>
  </r>
  <r>
    <x v="219"/>
    <s v="Single"/>
    <x v="1"/>
    <x v="4"/>
    <x v="3"/>
    <x v="1"/>
    <x v="3"/>
    <x v="0"/>
    <n v="1"/>
    <s v="1-2 Miles"/>
    <x v="1"/>
    <x v="22"/>
    <x v="2"/>
    <x v="1"/>
  </r>
  <r>
    <x v="220"/>
    <s v="Married"/>
    <x v="1"/>
    <x v="10"/>
    <x v="0"/>
    <x v="0"/>
    <x v="2"/>
    <x v="0"/>
    <n v="1"/>
    <s v="5-10 Miles"/>
    <x v="1"/>
    <x v="1"/>
    <x v="0"/>
    <x v="1"/>
  </r>
  <r>
    <x v="221"/>
    <s v="Single"/>
    <x v="1"/>
    <x v="4"/>
    <x v="3"/>
    <x v="3"/>
    <x v="3"/>
    <x v="1"/>
    <n v="2"/>
    <s v="1-2 Miles"/>
    <x v="0"/>
    <x v="11"/>
    <x v="0"/>
    <x v="0"/>
  </r>
  <r>
    <x v="222"/>
    <s v="Married"/>
    <x v="0"/>
    <x v="1"/>
    <x v="1"/>
    <x v="1"/>
    <x v="1"/>
    <x v="1"/>
    <n v="0"/>
    <s v="0-1 Miles"/>
    <x v="0"/>
    <x v="0"/>
    <x v="0"/>
    <x v="0"/>
  </r>
  <r>
    <x v="223"/>
    <s v="Single"/>
    <x v="0"/>
    <x v="3"/>
    <x v="2"/>
    <x v="0"/>
    <x v="2"/>
    <x v="0"/>
    <n v="4"/>
    <s v="10+ Miles"/>
    <x v="1"/>
    <x v="32"/>
    <x v="0"/>
    <x v="0"/>
  </r>
  <r>
    <x v="224"/>
    <s v="Married"/>
    <x v="0"/>
    <x v="1"/>
    <x v="4"/>
    <x v="1"/>
    <x v="1"/>
    <x v="1"/>
    <n v="2"/>
    <s v="0-1 Miles"/>
    <x v="1"/>
    <x v="41"/>
    <x v="1"/>
    <x v="0"/>
  </r>
  <r>
    <x v="225"/>
    <s v="Married"/>
    <x v="1"/>
    <x v="6"/>
    <x v="0"/>
    <x v="1"/>
    <x v="3"/>
    <x v="0"/>
    <n v="0"/>
    <s v="1-2 Miles"/>
    <x v="0"/>
    <x v="11"/>
    <x v="0"/>
    <x v="0"/>
  </r>
  <r>
    <x v="226"/>
    <s v="Single"/>
    <x v="0"/>
    <x v="6"/>
    <x v="1"/>
    <x v="2"/>
    <x v="3"/>
    <x v="0"/>
    <n v="1"/>
    <s v="0-1 Miles"/>
    <x v="0"/>
    <x v="0"/>
    <x v="0"/>
    <x v="1"/>
  </r>
  <r>
    <x v="227"/>
    <s v="Married"/>
    <x v="1"/>
    <x v="4"/>
    <x v="1"/>
    <x v="3"/>
    <x v="3"/>
    <x v="0"/>
    <n v="2"/>
    <s v="0-1 Miles"/>
    <x v="0"/>
    <x v="1"/>
    <x v="0"/>
    <x v="0"/>
  </r>
  <r>
    <x v="228"/>
    <s v="Married"/>
    <x v="0"/>
    <x v="6"/>
    <x v="0"/>
    <x v="4"/>
    <x v="1"/>
    <x v="0"/>
    <n v="0"/>
    <s v="0-1 Miles"/>
    <x v="0"/>
    <x v="12"/>
    <x v="0"/>
    <x v="0"/>
  </r>
  <r>
    <x v="229"/>
    <s v="Single"/>
    <x v="1"/>
    <x v="2"/>
    <x v="2"/>
    <x v="2"/>
    <x v="4"/>
    <x v="0"/>
    <n v="3"/>
    <s v="10+ Miles"/>
    <x v="0"/>
    <x v="42"/>
    <x v="1"/>
    <x v="0"/>
  </r>
  <r>
    <x v="230"/>
    <s v="Married"/>
    <x v="1"/>
    <x v="7"/>
    <x v="5"/>
    <x v="1"/>
    <x v="4"/>
    <x v="0"/>
    <n v="3"/>
    <s v="10+ Miles"/>
    <x v="0"/>
    <x v="16"/>
    <x v="1"/>
    <x v="0"/>
  </r>
  <r>
    <x v="231"/>
    <s v="Married"/>
    <x v="0"/>
    <x v="0"/>
    <x v="3"/>
    <x v="0"/>
    <x v="1"/>
    <x v="0"/>
    <n v="0"/>
    <s v="0-1 Miles"/>
    <x v="0"/>
    <x v="13"/>
    <x v="0"/>
    <x v="1"/>
  </r>
  <r>
    <x v="232"/>
    <s v="Married"/>
    <x v="0"/>
    <x v="1"/>
    <x v="5"/>
    <x v="4"/>
    <x v="1"/>
    <x v="0"/>
    <n v="0"/>
    <s v="0-1 Miles"/>
    <x v="0"/>
    <x v="12"/>
    <x v="0"/>
    <x v="0"/>
  </r>
  <r>
    <x v="233"/>
    <s v="Married"/>
    <x v="1"/>
    <x v="6"/>
    <x v="3"/>
    <x v="0"/>
    <x v="1"/>
    <x v="0"/>
    <n v="0"/>
    <s v="0-1 Miles"/>
    <x v="1"/>
    <x v="40"/>
    <x v="2"/>
    <x v="1"/>
  </r>
  <r>
    <x v="234"/>
    <s v="Single"/>
    <x v="1"/>
    <x v="8"/>
    <x v="3"/>
    <x v="0"/>
    <x v="2"/>
    <x v="1"/>
    <n v="4"/>
    <s v="10+ Miles"/>
    <x v="1"/>
    <x v="11"/>
    <x v="0"/>
    <x v="1"/>
  </r>
  <r>
    <x v="235"/>
    <s v="Married"/>
    <x v="0"/>
    <x v="4"/>
    <x v="0"/>
    <x v="4"/>
    <x v="1"/>
    <x v="0"/>
    <n v="0"/>
    <s v="0-1 Miles"/>
    <x v="0"/>
    <x v="43"/>
    <x v="1"/>
    <x v="1"/>
  </r>
  <r>
    <x v="236"/>
    <s v="Single"/>
    <x v="0"/>
    <x v="1"/>
    <x v="2"/>
    <x v="4"/>
    <x v="1"/>
    <x v="0"/>
    <n v="0"/>
    <s v="0-1 Miles"/>
    <x v="0"/>
    <x v="20"/>
    <x v="0"/>
    <x v="1"/>
  </r>
  <r>
    <x v="237"/>
    <s v="Married"/>
    <x v="0"/>
    <x v="4"/>
    <x v="3"/>
    <x v="1"/>
    <x v="3"/>
    <x v="1"/>
    <n v="1"/>
    <s v="0-1 Miles"/>
    <x v="1"/>
    <x v="22"/>
    <x v="2"/>
    <x v="1"/>
  </r>
  <r>
    <x v="238"/>
    <s v="Married"/>
    <x v="1"/>
    <x v="3"/>
    <x v="2"/>
    <x v="1"/>
    <x v="0"/>
    <x v="0"/>
    <n v="3"/>
    <s v="5-10 Miles"/>
    <x v="1"/>
    <x v="30"/>
    <x v="0"/>
    <x v="0"/>
  </r>
  <r>
    <x v="239"/>
    <s v="Single"/>
    <x v="0"/>
    <x v="1"/>
    <x v="3"/>
    <x v="2"/>
    <x v="3"/>
    <x v="1"/>
    <n v="1"/>
    <s v="2-5 Miles"/>
    <x v="0"/>
    <x v="17"/>
    <x v="0"/>
    <x v="1"/>
  </r>
  <r>
    <x v="240"/>
    <s v="Married"/>
    <x v="1"/>
    <x v="4"/>
    <x v="0"/>
    <x v="4"/>
    <x v="3"/>
    <x v="0"/>
    <n v="0"/>
    <s v="0-1 Miles"/>
    <x v="0"/>
    <x v="34"/>
    <x v="0"/>
    <x v="0"/>
  </r>
  <r>
    <x v="241"/>
    <s v="Single"/>
    <x v="0"/>
    <x v="1"/>
    <x v="1"/>
    <x v="1"/>
    <x v="1"/>
    <x v="0"/>
    <n v="2"/>
    <s v="0-1 Miles"/>
    <x v="0"/>
    <x v="40"/>
    <x v="2"/>
    <x v="0"/>
  </r>
  <r>
    <x v="242"/>
    <s v="Single"/>
    <x v="1"/>
    <x v="1"/>
    <x v="0"/>
    <x v="0"/>
    <x v="1"/>
    <x v="1"/>
    <n v="1"/>
    <s v="0-1 Miles"/>
    <x v="0"/>
    <x v="32"/>
    <x v="0"/>
    <x v="1"/>
  </r>
  <r>
    <x v="243"/>
    <s v="Single"/>
    <x v="0"/>
    <x v="6"/>
    <x v="3"/>
    <x v="2"/>
    <x v="3"/>
    <x v="1"/>
    <n v="1"/>
    <s v="2-5 Miles"/>
    <x v="0"/>
    <x v="19"/>
    <x v="2"/>
    <x v="0"/>
  </r>
  <r>
    <x v="244"/>
    <s v="Married"/>
    <x v="0"/>
    <x v="7"/>
    <x v="1"/>
    <x v="0"/>
    <x v="4"/>
    <x v="1"/>
    <n v="2"/>
    <s v="10+ Miles"/>
    <x v="0"/>
    <x v="31"/>
    <x v="0"/>
    <x v="1"/>
  </r>
  <r>
    <x v="245"/>
    <s v="Married"/>
    <x v="1"/>
    <x v="15"/>
    <x v="2"/>
    <x v="0"/>
    <x v="4"/>
    <x v="0"/>
    <n v="4"/>
    <s v="2-5 Miles"/>
    <x v="1"/>
    <x v="28"/>
    <x v="0"/>
    <x v="1"/>
  </r>
  <r>
    <x v="246"/>
    <s v="Married"/>
    <x v="0"/>
    <x v="12"/>
    <x v="1"/>
    <x v="1"/>
    <x v="2"/>
    <x v="0"/>
    <n v="3"/>
    <s v="0-1 Miles"/>
    <x v="0"/>
    <x v="36"/>
    <x v="0"/>
    <x v="1"/>
  </r>
  <r>
    <x v="247"/>
    <s v="Married"/>
    <x v="0"/>
    <x v="11"/>
    <x v="3"/>
    <x v="2"/>
    <x v="4"/>
    <x v="0"/>
    <n v="4"/>
    <s v="10+ Miles"/>
    <x v="1"/>
    <x v="17"/>
    <x v="0"/>
    <x v="1"/>
  </r>
  <r>
    <x v="248"/>
    <s v="Married"/>
    <x v="0"/>
    <x v="4"/>
    <x v="2"/>
    <x v="2"/>
    <x v="0"/>
    <x v="1"/>
    <n v="3"/>
    <s v="1-2 Miles"/>
    <x v="1"/>
    <x v="24"/>
    <x v="1"/>
    <x v="0"/>
  </r>
  <r>
    <x v="249"/>
    <s v="Single"/>
    <x v="1"/>
    <x v="3"/>
    <x v="3"/>
    <x v="0"/>
    <x v="2"/>
    <x v="0"/>
    <n v="1"/>
    <s v="5-10 Miles"/>
    <x v="1"/>
    <x v="34"/>
    <x v="0"/>
    <x v="1"/>
  </r>
  <r>
    <x v="250"/>
    <s v="Married"/>
    <x v="1"/>
    <x v="11"/>
    <x v="2"/>
    <x v="4"/>
    <x v="4"/>
    <x v="1"/>
    <n v="1"/>
    <s v="1-2 Miles"/>
    <x v="1"/>
    <x v="44"/>
    <x v="1"/>
    <x v="1"/>
  </r>
  <r>
    <x v="251"/>
    <s v="Married"/>
    <x v="1"/>
    <x v="12"/>
    <x v="5"/>
    <x v="2"/>
    <x v="2"/>
    <x v="0"/>
    <n v="3"/>
    <s v="0-1 Miles"/>
    <x v="0"/>
    <x v="10"/>
    <x v="1"/>
    <x v="0"/>
  </r>
  <r>
    <x v="252"/>
    <s v="Single"/>
    <x v="1"/>
    <x v="10"/>
    <x v="3"/>
    <x v="0"/>
    <x v="2"/>
    <x v="1"/>
    <n v="4"/>
    <s v="2-5 Miles"/>
    <x v="1"/>
    <x v="23"/>
    <x v="0"/>
    <x v="0"/>
  </r>
  <r>
    <x v="253"/>
    <s v="Married"/>
    <x v="1"/>
    <x v="11"/>
    <x v="1"/>
    <x v="3"/>
    <x v="2"/>
    <x v="0"/>
    <n v="0"/>
    <s v="10+ Miles"/>
    <x v="0"/>
    <x v="14"/>
    <x v="1"/>
    <x v="1"/>
  </r>
  <r>
    <x v="254"/>
    <s v="Single"/>
    <x v="1"/>
    <x v="6"/>
    <x v="4"/>
    <x v="3"/>
    <x v="1"/>
    <x v="0"/>
    <n v="2"/>
    <s v="5-10 Miles"/>
    <x v="1"/>
    <x v="42"/>
    <x v="1"/>
    <x v="0"/>
  </r>
  <r>
    <x v="255"/>
    <s v="Single"/>
    <x v="0"/>
    <x v="1"/>
    <x v="1"/>
    <x v="4"/>
    <x v="1"/>
    <x v="0"/>
    <n v="0"/>
    <s v="0-1 Miles"/>
    <x v="0"/>
    <x v="15"/>
    <x v="0"/>
    <x v="1"/>
  </r>
  <r>
    <x v="256"/>
    <s v="Married"/>
    <x v="1"/>
    <x v="6"/>
    <x v="0"/>
    <x v="4"/>
    <x v="1"/>
    <x v="0"/>
    <n v="0"/>
    <s v="0-1 Miles"/>
    <x v="0"/>
    <x v="1"/>
    <x v="0"/>
    <x v="0"/>
  </r>
  <r>
    <x v="257"/>
    <s v="Single"/>
    <x v="0"/>
    <x v="14"/>
    <x v="3"/>
    <x v="4"/>
    <x v="0"/>
    <x v="0"/>
    <n v="0"/>
    <s v="0-1 Miles"/>
    <x v="0"/>
    <x v="4"/>
    <x v="0"/>
    <x v="1"/>
  </r>
  <r>
    <x v="258"/>
    <s v="Single"/>
    <x v="0"/>
    <x v="11"/>
    <x v="1"/>
    <x v="1"/>
    <x v="4"/>
    <x v="0"/>
    <n v="4"/>
    <s v="10+ Miles"/>
    <x v="0"/>
    <x v="16"/>
    <x v="1"/>
    <x v="0"/>
  </r>
  <r>
    <x v="259"/>
    <s v="Married"/>
    <x v="1"/>
    <x v="13"/>
    <x v="3"/>
    <x v="0"/>
    <x v="4"/>
    <x v="0"/>
    <n v="4"/>
    <s v="0-1 Miles"/>
    <x v="1"/>
    <x v="34"/>
    <x v="0"/>
    <x v="1"/>
  </r>
  <r>
    <x v="260"/>
    <s v="Single"/>
    <x v="0"/>
    <x v="1"/>
    <x v="4"/>
    <x v="1"/>
    <x v="1"/>
    <x v="0"/>
    <n v="0"/>
    <s v="0-1 Miles"/>
    <x v="0"/>
    <x v="1"/>
    <x v="0"/>
    <x v="0"/>
  </r>
  <r>
    <x v="261"/>
    <s v="Married"/>
    <x v="0"/>
    <x v="0"/>
    <x v="0"/>
    <x v="0"/>
    <x v="0"/>
    <x v="0"/>
    <n v="1"/>
    <s v="1-2 Miles"/>
    <x v="0"/>
    <x v="6"/>
    <x v="0"/>
    <x v="1"/>
  </r>
  <r>
    <x v="262"/>
    <s v="Married"/>
    <x v="0"/>
    <x v="4"/>
    <x v="4"/>
    <x v="1"/>
    <x v="3"/>
    <x v="0"/>
    <n v="0"/>
    <s v="1-2 Miles"/>
    <x v="0"/>
    <x v="36"/>
    <x v="0"/>
    <x v="0"/>
  </r>
  <r>
    <x v="263"/>
    <s v="Single"/>
    <x v="0"/>
    <x v="3"/>
    <x v="2"/>
    <x v="0"/>
    <x v="2"/>
    <x v="0"/>
    <n v="3"/>
    <s v="10+ Miles"/>
    <x v="1"/>
    <x v="32"/>
    <x v="0"/>
    <x v="0"/>
  </r>
  <r>
    <x v="264"/>
    <s v="Married"/>
    <x v="1"/>
    <x v="0"/>
    <x v="3"/>
    <x v="4"/>
    <x v="1"/>
    <x v="0"/>
    <n v="0"/>
    <s v="0-1 Miles"/>
    <x v="0"/>
    <x v="34"/>
    <x v="0"/>
    <x v="1"/>
  </r>
  <r>
    <x v="265"/>
    <s v="Single"/>
    <x v="0"/>
    <x v="1"/>
    <x v="4"/>
    <x v="1"/>
    <x v="1"/>
    <x v="0"/>
    <n v="2"/>
    <s v="0-1 Miles"/>
    <x v="0"/>
    <x v="0"/>
    <x v="0"/>
    <x v="0"/>
  </r>
  <r>
    <x v="266"/>
    <s v="Single"/>
    <x v="0"/>
    <x v="6"/>
    <x v="2"/>
    <x v="2"/>
    <x v="3"/>
    <x v="0"/>
    <n v="2"/>
    <s v="0-1 Miles"/>
    <x v="0"/>
    <x v="40"/>
    <x v="2"/>
    <x v="0"/>
  </r>
  <r>
    <x v="267"/>
    <s v="Single"/>
    <x v="1"/>
    <x v="11"/>
    <x v="2"/>
    <x v="0"/>
    <x v="2"/>
    <x v="0"/>
    <n v="1"/>
    <s v="5-10 Miles"/>
    <x v="1"/>
    <x v="15"/>
    <x v="0"/>
    <x v="1"/>
  </r>
  <r>
    <x v="268"/>
    <s v="Married"/>
    <x v="1"/>
    <x v="3"/>
    <x v="2"/>
    <x v="1"/>
    <x v="0"/>
    <x v="0"/>
    <n v="3"/>
    <s v="5-10 Miles"/>
    <x v="1"/>
    <x v="12"/>
    <x v="0"/>
    <x v="0"/>
  </r>
  <r>
    <x v="269"/>
    <s v="Single"/>
    <x v="0"/>
    <x v="14"/>
    <x v="3"/>
    <x v="4"/>
    <x v="0"/>
    <x v="1"/>
    <n v="0"/>
    <s v="0-1 Miles"/>
    <x v="0"/>
    <x v="34"/>
    <x v="0"/>
    <x v="1"/>
  </r>
  <r>
    <x v="270"/>
    <s v="Single"/>
    <x v="0"/>
    <x v="4"/>
    <x v="4"/>
    <x v="1"/>
    <x v="3"/>
    <x v="0"/>
    <n v="0"/>
    <s v="0-1 Miles"/>
    <x v="0"/>
    <x v="36"/>
    <x v="0"/>
    <x v="1"/>
  </r>
  <r>
    <x v="271"/>
    <s v="Single"/>
    <x v="0"/>
    <x v="6"/>
    <x v="3"/>
    <x v="2"/>
    <x v="3"/>
    <x v="1"/>
    <n v="1"/>
    <s v="1-2 Miles"/>
    <x v="0"/>
    <x v="26"/>
    <x v="2"/>
    <x v="0"/>
  </r>
  <r>
    <x v="272"/>
    <s v="Married"/>
    <x v="1"/>
    <x v="4"/>
    <x v="5"/>
    <x v="3"/>
    <x v="3"/>
    <x v="0"/>
    <n v="1"/>
    <s v="0-1 Miles"/>
    <x v="0"/>
    <x v="8"/>
    <x v="0"/>
    <x v="1"/>
  </r>
  <r>
    <x v="273"/>
    <s v="Single"/>
    <x v="0"/>
    <x v="6"/>
    <x v="3"/>
    <x v="2"/>
    <x v="3"/>
    <x v="1"/>
    <n v="1"/>
    <s v="2-5 Miles"/>
    <x v="0"/>
    <x v="25"/>
    <x v="2"/>
    <x v="0"/>
  </r>
  <r>
    <x v="274"/>
    <s v="Married"/>
    <x v="0"/>
    <x v="1"/>
    <x v="3"/>
    <x v="0"/>
    <x v="1"/>
    <x v="1"/>
    <n v="0"/>
    <s v="0-1 Miles"/>
    <x v="0"/>
    <x v="4"/>
    <x v="0"/>
    <x v="1"/>
  </r>
  <r>
    <x v="275"/>
    <s v="Married"/>
    <x v="0"/>
    <x v="8"/>
    <x v="0"/>
    <x v="4"/>
    <x v="4"/>
    <x v="0"/>
    <n v="0"/>
    <s v="0-1 Miles"/>
    <x v="1"/>
    <x v="34"/>
    <x v="0"/>
    <x v="1"/>
  </r>
  <r>
    <x v="276"/>
    <s v="Married"/>
    <x v="0"/>
    <x v="4"/>
    <x v="4"/>
    <x v="1"/>
    <x v="3"/>
    <x v="0"/>
    <n v="0"/>
    <s v="1-2 Miles"/>
    <x v="0"/>
    <x v="38"/>
    <x v="0"/>
    <x v="0"/>
  </r>
  <r>
    <x v="277"/>
    <s v="Married"/>
    <x v="0"/>
    <x v="4"/>
    <x v="4"/>
    <x v="2"/>
    <x v="3"/>
    <x v="0"/>
    <n v="0"/>
    <s v="0-1 Miles"/>
    <x v="0"/>
    <x v="34"/>
    <x v="0"/>
    <x v="1"/>
  </r>
  <r>
    <x v="278"/>
    <s v="Married"/>
    <x v="1"/>
    <x v="11"/>
    <x v="3"/>
    <x v="2"/>
    <x v="4"/>
    <x v="0"/>
    <n v="3"/>
    <s v="10+ Miles"/>
    <x v="1"/>
    <x v="11"/>
    <x v="0"/>
    <x v="1"/>
  </r>
  <r>
    <x v="279"/>
    <s v="Single"/>
    <x v="1"/>
    <x v="1"/>
    <x v="0"/>
    <x v="0"/>
    <x v="1"/>
    <x v="1"/>
    <n v="0"/>
    <s v="0-1 Miles"/>
    <x v="0"/>
    <x v="13"/>
    <x v="0"/>
    <x v="1"/>
  </r>
  <r>
    <x v="280"/>
    <s v="Single"/>
    <x v="0"/>
    <x v="4"/>
    <x v="1"/>
    <x v="3"/>
    <x v="3"/>
    <x v="0"/>
    <n v="2"/>
    <s v="0-1 Miles"/>
    <x v="0"/>
    <x v="1"/>
    <x v="0"/>
    <x v="0"/>
  </r>
  <r>
    <x v="281"/>
    <s v="Single"/>
    <x v="1"/>
    <x v="6"/>
    <x v="0"/>
    <x v="1"/>
    <x v="3"/>
    <x v="1"/>
    <n v="0"/>
    <s v="0-1 Miles"/>
    <x v="0"/>
    <x v="34"/>
    <x v="0"/>
    <x v="0"/>
  </r>
  <r>
    <x v="282"/>
    <s v="Single"/>
    <x v="1"/>
    <x v="4"/>
    <x v="3"/>
    <x v="3"/>
    <x v="3"/>
    <x v="1"/>
    <n v="2"/>
    <s v="0-1 Miles"/>
    <x v="0"/>
    <x v="17"/>
    <x v="0"/>
    <x v="0"/>
  </r>
  <r>
    <x v="283"/>
    <s v="Married"/>
    <x v="0"/>
    <x v="3"/>
    <x v="2"/>
    <x v="1"/>
    <x v="0"/>
    <x v="1"/>
    <n v="3"/>
    <s v="5-10 Miles"/>
    <x v="1"/>
    <x v="30"/>
    <x v="0"/>
    <x v="0"/>
  </r>
  <r>
    <x v="284"/>
    <s v="Single"/>
    <x v="1"/>
    <x v="4"/>
    <x v="0"/>
    <x v="1"/>
    <x v="3"/>
    <x v="0"/>
    <n v="0"/>
    <s v="0-1 Miles"/>
    <x v="0"/>
    <x v="38"/>
    <x v="0"/>
    <x v="0"/>
  </r>
  <r>
    <x v="285"/>
    <s v="Married"/>
    <x v="0"/>
    <x v="10"/>
    <x v="0"/>
    <x v="1"/>
    <x v="0"/>
    <x v="0"/>
    <n v="1"/>
    <s v="5-10 Miles"/>
    <x v="1"/>
    <x v="12"/>
    <x v="0"/>
    <x v="0"/>
  </r>
  <r>
    <x v="286"/>
    <s v="Single"/>
    <x v="0"/>
    <x v="11"/>
    <x v="0"/>
    <x v="0"/>
    <x v="4"/>
    <x v="0"/>
    <n v="4"/>
    <s v="2-5 Miles"/>
    <x v="1"/>
    <x v="28"/>
    <x v="0"/>
    <x v="0"/>
  </r>
  <r>
    <x v="287"/>
    <s v="Single"/>
    <x v="0"/>
    <x v="1"/>
    <x v="1"/>
    <x v="4"/>
    <x v="1"/>
    <x v="1"/>
    <n v="0"/>
    <s v="0-1 Miles"/>
    <x v="0"/>
    <x v="30"/>
    <x v="0"/>
    <x v="1"/>
  </r>
  <r>
    <x v="288"/>
    <s v="Married"/>
    <x v="1"/>
    <x v="12"/>
    <x v="3"/>
    <x v="4"/>
    <x v="4"/>
    <x v="0"/>
    <n v="0"/>
    <s v="5-10 Miles"/>
    <x v="1"/>
    <x v="28"/>
    <x v="0"/>
    <x v="0"/>
  </r>
  <r>
    <x v="289"/>
    <s v="Married"/>
    <x v="1"/>
    <x v="1"/>
    <x v="1"/>
    <x v="2"/>
    <x v="0"/>
    <x v="0"/>
    <n v="2"/>
    <s v="5-10 Miles"/>
    <x v="1"/>
    <x v="9"/>
    <x v="0"/>
    <x v="1"/>
  </r>
  <r>
    <x v="290"/>
    <s v="Single"/>
    <x v="0"/>
    <x v="10"/>
    <x v="0"/>
    <x v="1"/>
    <x v="0"/>
    <x v="1"/>
    <n v="1"/>
    <s v="0-1 Miles"/>
    <x v="1"/>
    <x v="30"/>
    <x v="0"/>
    <x v="1"/>
  </r>
  <r>
    <x v="291"/>
    <s v="Married"/>
    <x v="1"/>
    <x v="0"/>
    <x v="3"/>
    <x v="0"/>
    <x v="1"/>
    <x v="1"/>
    <n v="0"/>
    <s v="0-1 Miles"/>
    <x v="0"/>
    <x v="13"/>
    <x v="0"/>
    <x v="1"/>
  </r>
  <r>
    <x v="292"/>
    <s v="Married"/>
    <x v="0"/>
    <x v="0"/>
    <x v="0"/>
    <x v="0"/>
    <x v="0"/>
    <x v="0"/>
    <n v="0"/>
    <s v="0-1 Miles"/>
    <x v="0"/>
    <x v="0"/>
    <x v="0"/>
    <x v="1"/>
  </r>
  <r>
    <x v="293"/>
    <s v="Single"/>
    <x v="0"/>
    <x v="4"/>
    <x v="0"/>
    <x v="2"/>
    <x v="3"/>
    <x v="1"/>
    <n v="1"/>
    <s v="2-5 Miles"/>
    <x v="0"/>
    <x v="30"/>
    <x v="0"/>
    <x v="1"/>
  </r>
  <r>
    <x v="294"/>
    <s v="Single"/>
    <x v="1"/>
    <x v="6"/>
    <x v="3"/>
    <x v="1"/>
    <x v="3"/>
    <x v="1"/>
    <n v="1"/>
    <s v="2-5 Miles"/>
    <x v="0"/>
    <x v="4"/>
    <x v="0"/>
    <x v="1"/>
  </r>
  <r>
    <x v="295"/>
    <s v="Single"/>
    <x v="0"/>
    <x v="15"/>
    <x v="3"/>
    <x v="1"/>
    <x v="4"/>
    <x v="0"/>
    <n v="3"/>
    <s v="10+ Miles"/>
    <x v="1"/>
    <x v="21"/>
    <x v="0"/>
    <x v="1"/>
  </r>
  <r>
    <x v="296"/>
    <s v="Single"/>
    <x v="0"/>
    <x v="10"/>
    <x v="4"/>
    <x v="0"/>
    <x v="2"/>
    <x v="1"/>
    <n v="1"/>
    <s v="0-1 Miles"/>
    <x v="1"/>
    <x v="32"/>
    <x v="0"/>
    <x v="1"/>
  </r>
  <r>
    <x v="297"/>
    <s v="Married"/>
    <x v="1"/>
    <x v="11"/>
    <x v="0"/>
    <x v="4"/>
    <x v="4"/>
    <x v="0"/>
    <n v="0"/>
    <s v="2-5 Miles"/>
    <x v="1"/>
    <x v="4"/>
    <x v="0"/>
    <x v="1"/>
  </r>
  <r>
    <x v="298"/>
    <s v="Married"/>
    <x v="0"/>
    <x v="8"/>
    <x v="5"/>
    <x v="2"/>
    <x v="2"/>
    <x v="1"/>
    <n v="2"/>
    <s v="2-5 Miles"/>
    <x v="0"/>
    <x v="9"/>
    <x v="0"/>
    <x v="1"/>
  </r>
  <r>
    <x v="299"/>
    <s v="Married"/>
    <x v="0"/>
    <x v="1"/>
    <x v="4"/>
    <x v="1"/>
    <x v="1"/>
    <x v="1"/>
    <n v="2"/>
    <s v="5-10 Miles"/>
    <x v="1"/>
    <x v="45"/>
    <x v="1"/>
    <x v="0"/>
  </r>
  <r>
    <x v="300"/>
    <s v="Single"/>
    <x v="0"/>
    <x v="4"/>
    <x v="2"/>
    <x v="2"/>
    <x v="0"/>
    <x v="1"/>
    <n v="2"/>
    <s v="1-2 Miles"/>
    <x v="1"/>
    <x v="24"/>
    <x v="1"/>
    <x v="0"/>
  </r>
  <r>
    <x v="301"/>
    <s v="Single"/>
    <x v="0"/>
    <x v="0"/>
    <x v="3"/>
    <x v="0"/>
    <x v="1"/>
    <x v="1"/>
    <n v="0"/>
    <s v="0-1 Miles"/>
    <x v="1"/>
    <x v="26"/>
    <x v="2"/>
    <x v="1"/>
  </r>
  <r>
    <x v="302"/>
    <s v="Single"/>
    <x v="1"/>
    <x v="1"/>
    <x v="0"/>
    <x v="0"/>
    <x v="1"/>
    <x v="0"/>
    <n v="0"/>
    <s v="0-1 Miles"/>
    <x v="0"/>
    <x v="24"/>
    <x v="1"/>
    <x v="1"/>
  </r>
  <r>
    <x v="303"/>
    <s v="Married"/>
    <x v="0"/>
    <x v="1"/>
    <x v="0"/>
    <x v="0"/>
    <x v="0"/>
    <x v="0"/>
    <n v="2"/>
    <s v="0-1 Miles"/>
    <x v="0"/>
    <x v="8"/>
    <x v="0"/>
    <x v="0"/>
  </r>
  <r>
    <x v="304"/>
    <s v="Married"/>
    <x v="1"/>
    <x v="2"/>
    <x v="5"/>
    <x v="4"/>
    <x v="4"/>
    <x v="0"/>
    <n v="1"/>
    <s v="0-1 Miles"/>
    <x v="1"/>
    <x v="4"/>
    <x v="0"/>
    <x v="1"/>
  </r>
  <r>
    <x v="305"/>
    <s v="Single"/>
    <x v="1"/>
    <x v="4"/>
    <x v="4"/>
    <x v="3"/>
    <x v="1"/>
    <x v="0"/>
    <n v="2"/>
    <s v="5-10 Miles"/>
    <x v="1"/>
    <x v="7"/>
    <x v="1"/>
    <x v="0"/>
  </r>
  <r>
    <x v="306"/>
    <s v="Married"/>
    <x v="1"/>
    <x v="8"/>
    <x v="4"/>
    <x v="0"/>
    <x v="2"/>
    <x v="0"/>
    <n v="0"/>
    <s v="1-2 Miles"/>
    <x v="1"/>
    <x v="8"/>
    <x v="0"/>
    <x v="1"/>
  </r>
  <r>
    <x v="307"/>
    <s v="Married"/>
    <x v="1"/>
    <x v="4"/>
    <x v="4"/>
    <x v="0"/>
    <x v="1"/>
    <x v="0"/>
    <n v="1"/>
    <s v="0-1 Miles"/>
    <x v="0"/>
    <x v="29"/>
    <x v="1"/>
    <x v="0"/>
  </r>
  <r>
    <x v="308"/>
    <s v="Married"/>
    <x v="1"/>
    <x v="0"/>
    <x v="4"/>
    <x v="1"/>
    <x v="1"/>
    <x v="0"/>
    <n v="1"/>
    <s v="1-2 Miles"/>
    <x v="0"/>
    <x v="11"/>
    <x v="0"/>
    <x v="1"/>
  </r>
  <r>
    <x v="309"/>
    <s v="Married"/>
    <x v="0"/>
    <x v="6"/>
    <x v="4"/>
    <x v="1"/>
    <x v="3"/>
    <x v="0"/>
    <n v="1"/>
    <s v="2-5 Miles"/>
    <x v="0"/>
    <x v="15"/>
    <x v="0"/>
    <x v="1"/>
  </r>
  <r>
    <x v="310"/>
    <s v="Married"/>
    <x v="1"/>
    <x v="7"/>
    <x v="5"/>
    <x v="0"/>
    <x v="4"/>
    <x v="0"/>
    <n v="1"/>
    <s v="2-5 Miles"/>
    <x v="1"/>
    <x v="15"/>
    <x v="0"/>
    <x v="0"/>
  </r>
  <r>
    <x v="311"/>
    <s v="Married"/>
    <x v="1"/>
    <x v="10"/>
    <x v="0"/>
    <x v="1"/>
    <x v="0"/>
    <x v="0"/>
    <n v="1"/>
    <s v="5-10 Miles"/>
    <x v="1"/>
    <x v="30"/>
    <x v="0"/>
    <x v="0"/>
  </r>
  <r>
    <x v="312"/>
    <s v="Married"/>
    <x v="1"/>
    <x v="6"/>
    <x v="5"/>
    <x v="2"/>
    <x v="0"/>
    <x v="0"/>
    <n v="2"/>
    <s v="5-10 Miles"/>
    <x v="1"/>
    <x v="7"/>
    <x v="1"/>
    <x v="1"/>
  </r>
  <r>
    <x v="313"/>
    <s v="Single"/>
    <x v="1"/>
    <x v="0"/>
    <x v="1"/>
    <x v="3"/>
    <x v="1"/>
    <x v="1"/>
    <n v="2"/>
    <s v="5-10 Miles"/>
    <x v="1"/>
    <x v="31"/>
    <x v="0"/>
    <x v="1"/>
  </r>
  <r>
    <x v="314"/>
    <s v="Married"/>
    <x v="1"/>
    <x v="2"/>
    <x v="2"/>
    <x v="0"/>
    <x v="2"/>
    <x v="1"/>
    <n v="1"/>
    <s v="0-1 Miles"/>
    <x v="1"/>
    <x v="15"/>
    <x v="0"/>
    <x v="1"/>
  </r>
  <r>
    <x v="315"/>
    <s v="Single"/>
    <x v="1"/>
    <x v="3"/>
    <x v="3"/>
    <x v="0"/>
    <x v="2"/>
    <x v="1"/>
    <n v="1"/>
    <s v="5-10 Miles"/>
    <x v="1"/>
    <x v="3"/>
    <x v="0"/>
    <x v="0"/>
  </r>
  <r>
    <x v="316"/>
    <s v="Married"/>
    <x v="1"/>
    <x v="14"/>
    <x v="4"/>
    <x v="4"/>
    <x v="4"/>
    <x v="0"/>
    <n v="1"/>
    <s v="5-10 Miles"/>
    <x v="1"/>
    <x v="46"/>
    <x v="1"/>
    <x v="1"/>
  </r>
  <r>
    <x v="317"/>
    <s v="Married"/>
    <x v="1"/>
    <x v="1"/>
    <x v="3"/>
    <x v="0"/>
    <x v="1"/>
    <x v="0"/>
    <n v="0"/>
    <s v="0-1 Miles"/>
    <x v="0"/>
    <x v="11"/>
    <x v="0"/>
    <x v="1"/>
  </r>
  <r>
    <x v="318"/>
    <s v="Married"/>
    <x v="1"/>
    <x v="12"/>
    <x v="5"/>
    <x v="1"/>
    <x v="2"/>
    <x v="1"/>
    <n v="3"/>
    <s v="10+ Miles"/>
    <x v="0"/>
    <x v="9"/>
    <x v="0"/>
    <x v="0"/>
  </r>
  <r>
    <x v="319"/>
    <s v="Married"/>
    <x v="0"/>
    <x v="1"/>
    <x v="1"/>
    <x v="0"/>
    <x v="1"/>
    <x v="0"/>
    <n v="0"/>
    <s v="0-1 Miles"/>
    <x v="0"/>
    <x v="12"/>
    <x v="0"/>
    <x v="0"/>
  </r>
  <r>
    <x v="320"/>
    <s v="Married"/>
    <x v="1"/>
    <x v="11"/>
    <x v="3"/>
    <x v="4"/>
    <x v="4"/>
    <x v="0"/>
    <n v="0"/>
    <s v="2-5 Miles"/>
    <x v="1"/>
    <x v="8"/>
    <x v="0"/>
    <x v="1"/>
  </r>
  <r>
    <x v="321"/>
    <s v="Single"/>
    <x v="0"/>
    <x v="5"/>
    <x v="3"/>
    <x v="4"/>
    <x v="4"/>
    <x v="1"/>
    <n v="3"/>
    <s v="0-1 Miles"/>
    <x v="1"/>
    <x v="15"/>
    <x v="0"/>
    <x v="1"/>
  </r>
  <r>
    <x v="322"/>
    <s v="Single"/>
    <x v="0"/>
    <x v="4"/>
    <x v="5"/>
    <x v="3"/>
    <x v="3"/>
    <x v="0"/>
    <n v="2"/>
    <s v="0-1 Miles"/>
    <x v="0"/>
    <x v="3"/>
    <x v="0"/>
    <x v="1"/>
  </r>
  <r>
    <x v="323"/>
    <s v="Single"/>
    <x v="0"/>
    <x v="0"/>
    <x v="3"/>
    <x v="4"/>
    <x v="1"/>
    <x v="1"/>
    <n v="0"/>
    <s v="0-1 Miles"/>
    <x v="0"/>
    <x v="34"/>
    <x v="0"/>
    <x v="1"/>
  </r>
  <r>
    <x v="324"/>
    <s v="Married"/>
    <x v="1"/>
    <x v="8"/>
    <x v="5"/>
    <x v="0"/>
    <x v="2"/>
    <x v="0"/>
    <n v="0"/>
    <s v="1-2 Miles"/>
    <x v="1"/>
    <x v="13"/>
    <x v="0"/>
    <x v="1"/>
  </r>
  <r>
    <x v="325"/>
    <s v="Single"/>
    <x v="1"/>
    <x v="0"/>
    <x v="4"/>
    <x v="1"/>
    <x v="1"/>
    <x v="1"/>
    <n v="2"/>
    <s v="0-1 Miles"/>
    <x v="0"/>
    <x v="4"/>
    <x v="0"/>
    <x v="1"/>
  </r>
  <r>
    <x v="326"/>
    <s v="Married"/>
    <x v="0"/>
    <x v="6"/>
    <x v="3"/>
    <x v="0"/>
    <x v="1"/>
    <x v="1"/>
    <n v="0"/>
    <s v="0-1 Miles"/>
    <x v="1"/>
    <x v="22"/>
    <x v="2"/>
    <x v="1"/>
  </r>
  <r>
    <x v="327"/>
    <s v="Married"/>
    <x v="1"/>
    <x v="1"/>
    <x v="0"/>
    <x v="0"/>
    <x v="0"/>
    <x v="0"/>
    <n v="2"/>
    <s v="0-1 Miles"/>
    <x v="0"/>
    <x v="8"/>
    <x v="0"/>
    <x v="0"/>
  </r>
  <r>
    <x v="328"/>
    <s v="Single"/>
    <x v="1"/>
    <x v="0"/>
    <x v="4"/>
    <x v="1"/>
    <x v="1"/>
    <x v="0"/>
    <n v="2"/>
    <s v="1-2 Miles"/>
    <x v="0"/>
    <x v="4"/>
    <x v="0"/>
    <x v="0"/>
  </r>
  <r>
    <x v="329"/>
    <s v="Married"/>
    <x v="0"/>
    <x v="8"/>
    <x v="2"/>
    <x v="3"/>
    <x v="0"/>
    <x v="0"/>
    <n v="2"/>
    <s v="10+ Miles"/>
    <x v="0"/>
    <x v="14"/>
    <x v="1"/>
    <x v="0"/>
  </r>
  <r>
    <x v="330"/>
    <s v="Single"/>
    <x v="0"/>
    <x v="2"/>
    <x v="3"/>
    <x v="0"/>
    <x v="2"/>
    <x v="0"/>
    <n v="3"/>
    <s v="10+ Miles"/>
    <x v="1"/>
    <x v="21"/>
    <x v="0"/>
    <x v="0"/>
  </r>
  <r>
    <x v="331"/>
    <s v="Married"/>
    <x v="1"/>
    <x v="4"/>
    <x v="3"/>
    <x v="3"/>
    <x v="3"/>
    <x v="1"/>
    <n v="2"/>
    <s v="0-1 Miles"/>
    <x v="0"/>
    <x v="25"/>
    <x v="2"/>
    <x v="0"/>
  </r>
  <r>
    <x v="332"/>
    <s v="Single"/>
    <x v="0"/>
    <x v="6"/>
    <x v="3"/>
    <x v="3"/>
    <x v="3"/>
    <x v="1"/>
    <n v="2"/>
    <s v="1-2 Miles"/>
    <x v="0"/>
    <x v="11"/>
    <x v="0"/>
    <x v="1"/>
  </r>
  <r>
    <x v="333"/>
    <s v="Married"/>
    <x v="1"/>
    <x v="12"/>
    <x v="1"/>
    <x v="2"/>
    <x v="2"/>
    <x v="0"/>
    <n v="4"/>
    <s v="5-10 Miles"/>
    <x v="0"/>
    <x v="36"/>
    <x v="0"/>
    <x v="1"/>
  </r>
  <r>
    <x v="334"/>
    <s v="Married"/>
    <x v="1"/>
    <x v="8"/>
    <x v="4"/>
    <x v="0"/>
    <x v="2"/>
    <x v="0"/>
    <n v="1"/>
    <s v="5-10 Miles"/>
    <x v="1"/>
    <x v="15"/>
    <x v="0"/>
    <x v="0"/>
  </r>
  <r>
    <x v="335"/>
    <s v="Married"/>
    <x v="1"/>
    <x v="2"/>
    <x v="2"/>
    <x v="4"/>
    <x v="4"/>
    <x v="1"/>
    <n v="2"/>
    <s v="0-1 Miles"/>
    <x v="1"/>
    <x v="32"/>
    <x v="0"/>
    <x v="0"/>
  </r>
  <r>
    <x v="336"/>
    <s v="Single"/>
    <x v="1"/>
    <x v="6"/>
    <x v="3"/>
    <x v="3"/>
    <x v="3"/>
    <x v="1"/>
    <n v="2"/>
    <s v="0-1 Miles"/>
    <x v="0"/>
    <x v="17"/>
    <x v="0"/>
    <x v="0"/>
  </r>
  <r>
    <x v="337"/>
    <s v="Married"/>
    <x v="1"/>
    <x v="4"/>
    <x v="3"/>
    <x v="3"/>
    <x v="3"/>
    <x v="0"/>
    <n v="2"/>
    <s v="0-1 Miles"/>
    <x v="0"/>
    <x v="21"/>
    <x v="0"/>
    <x v="0"/>
  </r>
  <r>
    <x v="338"/>
    <s v="Single"/>
    <x v="0"/>
    <x v="7"/>
    <x v="1"/>
    <x v="2"/>
    <x v="2"/>
    <x v="0"/>
    <n v="4"/>
    <s v="5-10 Miles"/>
    <x v="0"/>
    <x v="5"/>
    <x v="0"/>
    <x v="1"/>
  </r>
  <r>
    <x v="339"/>
    <s v="Married"/>
    <x v="1"/>
    <x v="6"/>
    <x v="0"/>
    <x v="0"/>
    <x v="1"/>
    <x v="0"/>
    <n v="0"/>
    <s v="0-1 Miles"/>
    <x v="0"/>
    <x v="29"/>
    <x v="1"/>
    <x v="0"/>
  </r>
  <r>
    <x v="340"/>
    <s v="Single"/>
    <x v="1"/>
    <x v="1"/>
    <x v="3"/>
    <x v="1"/>
    <x v="1"/>
    <x v="0"/>
    <n v="1"/>
    <s v="2-5 Miles"/>
    <x v="0"/>
    <x v="25"/>
    <x v="2"/>
    <x v="0"/>
  </r>
  <r>
    <x v="341"/>
    <s v="Single"/>
    <x v="0"/>
    <x v="1"/>
    <x v="3"/>
    <x v="2"/>
    <x v="3"/>
    <x v="1"/>
    <n v="1"/>
    <s v="2-5 Miles"/>
    <x v="0"/>
    <x v="21"/>
    <x v="0"/>
    <x v="1"/>
  </r>
  <r>
    <x v="342"/>
    <s v="Single"/>
    <x v="1"/>
    <x v="4"/>
    <x v="3"/>
    <x v="3"/>
    <x v="3"/>
    <x v="0"/>
    <n v="2"/>
    <s v="1-2 Miles"/>
    <x v="0"/>
    <x v="11"/>
    <x v="0"/>
    <x v="0"/>
  </r>
  <r>
    <x v="343"/>
    <s v="Single"/>
    <x v="0"/>
    <x v="1"/>
    <x v="3"/>
    <x v="2"/>
    <x v="3"/>
    <x v="1"/>
    <n v="1"/>
    <s v="2-5 Miles"/>
    <x v="0"/>
    <x v="21"/>
    <x v="0"/>
    <x v="0"/>
  </r>
  <r>
    <x v="344"/>
    <s v="Single"/>
    <x v="1"/>
    <x v="1"/>
    <x v="3"/>
    <x v="1"/>
    <x v="1"/>
    <x v="1"/>
    <n v="1"/>
    <s v="2-5 Miles"/>
    <x v="0"/>
    <x v="23"/>
    <x v="0"/>
    <x v="1"/>
  </r>
  <r>
    <x v="345"/>
    <s v="Married"/>
    <x v="0"/>
    <x v="6"/>
    <x v="0"/>
    <x v="0"/>
    <x v="1"/>
    <x v="0"/>
    <n v="0"/>
    <s v="0-1 Miles"/>
    <x v="0"/>
    <x v="5"/>
    <x v="0"/>
    <x v="1"/>
  </r>
  <r>
    <x v="346"/>
    <s v="Married"/>
    <x v="1"/>
    <x v="0"/>
    <x v="0"/>
    <x v="0"/>
    <x v="0"/>
    <x v="1"/>
    <n v="0"/>
    <s v="0-1 Miles"/>
    <x v="0"/>
    <x v="1"/>
    <x v="0"/>
    <x v="1"/>
  </r>
  <r>
    <x v="347"/>
    <s v="Single"/>
    <x v="0"/>
    <x v="10"/>
    <x v="0"/>
    <x v="1"/>
    <x v="0"/>
    <x v="1"/>
    <n v="1"/>
    <s v="0-1 Miles"/>
    <x v="1"/>
    <x v="12"/>
    <x v="0"/>
    <x v="1"/>
  </r>
  <r>
    <x v="348"/>
    <s v="Married"/>
    <x v="1"/>
    <x v="6"/>
    <x v="4"/>
    <x v="2"/>
    <x v="3"/>
    <x v="0"/>
    <n v="2"/>
    <s v="0-1 Miles"/>
    <x v="0"/>
    <x v="0"/>
    <x v="0"/>
    <x v="0"/>
  </r>
  <r>
    <x v="349"/>
    <s v="Single"/>
    <x v="0"/>
    <x v="1"/>
    <x v="3"/>
    <x v="1"/>
    <x v="1"/>
    <x v="1"/>
    <n v="1"/>
    <s v="0-1 Miles"/>
    <x v="0"/>
    <x v="19"/>
    <x v="2"/>
    <x v="1"/>
  </r>
  <r>
    <x v="350"/>
    <s v="Single"/>
    <x v="1"/>
    <x v="6"/>
    <x v="3"/>
    <x v="1"/>
    <x v="3"/>
    <x v="1"/>
    <n v="0"/>
    <s v="0-1 Miles"/>
    <x v="1"/>
    <x v="26"/>
    <x v="2"/>
    <x v="1"/>
  </r>
  <r>
    <x v="351"/>
    <s v="Single"/>
    <x v="1"/>
    <x v="4"/>
    <x v="1"/>
    <x v="2"/>
    <x v="3"/>
    <x v="0"/>
    <n v="0"/>
    <s v="0-1 Miles"/>
    <x v="0"/>
    <x v="34"/>
    <x v="0"/>
    <x v="1"/>
  </r>
  <r>
    <x v="352"/>
    <s v="Married"/>
    <x v="0"/>
    <x v="2"/>
    <x v="5"/>
    <x v="1"/>
    <x v="2"/>
    <x v="0"/>
    <n v="2"/>
    <s v="2-5 Miles"/>
    <x v="0"/>
    <x v="39"/>
    <x v="0"/>
    <x v="0"/>
  </r>
  <r>
    <x v="353"/>
    <s v="Single"/>
    <x v="1"/>
    <x v="0"/>
    <x v="3"/>
    <x v="4"/>
    <x v="1"/>
    <x v="1"/>
    <n v="0"/>
    <s v="0-1 Miles"/>
    <x v="0"/>
    <x v="13"/>
    <x v="0"/>
    <x v="1"/>
  </r>
  <r>
    <x v="354"/>
    <s v="Single"/>
    <x v="1"/>
    <x v="1"/>
    <x v="0"/>
    <x v="0"/>
    <x v="1"/>
    <x v="1"/>
    <n v="1"/>
    <s v="1-2 Miles"/>
    <x v="0"/>
    <x v="32"/>
    <x v="0"/>
    <x v="0"/>
  </r>
  <r>
    <x v="355"/>
    <s v="Single"/>
    <x v="1"/>
    <x v="2"/>
    <x v="3"/>
    <x v="0"/>
    <x v="2"/>
    <x v="0"/>
    <n v="3"/>
    <s v="10+ Miles"/>
    <x v="1"/>
    <x v="21"/>
    <x v="0"/>
    <x v="0"/>
  </r>
  <r>
    <x v="356"/>
    <s v="Married"/>
    <x v="0"/>
    <x v="13"/>
    <x v="1"/>
    <x v="2"/>
    <x v="2"/>
    <x v="0"/>
    <n v="3"/>
    <s v="0-1 Miles"/>
    <x v="0"/>
    <x v="36"/>
    <x v="0"/>
    <x v="1"/>
  </r>
  <r>
    <x v="357"/>
    <s v="Single"/>
    <x v="0"/>
    <x v="4"/>
    <x v="3"/>
    <x v="3"/>
    <x v="3"/>
    <x v="0"/>
    <n v="2"/>
    <s v="1-2 Miles"/>
    <x v="0"/>
    <x v="6"/>
    <x v="0"/>
    <x v="0"/>
  </r>
  <r>
    <x v="358"/>
    <s v="Married"/>
    <x v="1"/>
    <x v="8"/>
    <x v="5"/>
    <x v="2"/>
    <x v="4"/>
    <x v="0"/>
    <n v="3"/>
    <s v="5-10 Miles"/>
    <x v="0"/>
    <x v="7"/>
    <x v="1"/>
    <x v="1"/>
  </r>
  <r>
    <x v="359"/>
    <s v="Married"/>
    <x v="1"/>
    <x v="2"/>
    <x v="3"/>
    <x v="0"/>
    <x v="2"/>
    <x v="0"/>
    <n v="3"/>
    <s v="10+ Miles"/>
    <x v="1"/>
    <x v="25"/>
    <x v="2"/>
    <x v="0"/>
  </r>
  <r>
    <x v="360"/>
    <s v="Single"/>
    <x v="1"/>
    <x v="12"/>
    <x v="3"/>
    <x v="4"/>
    <x v="4"/>
    <x v="0"/>
    <n v="0"/>
    <s v="2-5 Miles"/>
    <x v="1"/>
    <x v="28"/>
    <x v="0"/>
    <x v="1"/>
  </r>
  <r>
    <x v="361"/>
    <s v="Single"/>
    <x v="0"/>
    <x v="1"/>
    <x v="1"/>
    <x v="1"/>
    <x v="1"/>
    <x v="1"/>
    <n v="2"/>
    <s v="0-1 Miles"/>
    <x v="0"/>
    <x v="40"/>
    <x v="2"/>
    <x v="1"/>
  </r>
  <r>
    <x v="362"/>
    <s v="Married"/>
    <x v="1"/>
    <x v="0"/>
    <x v="0"/>
    <x v="0"/>
    <x v="0"/>
    <x v="0"/>
    <n v="1"/>
    <s v="0-1 Miles"/>
    <x v="0"/>
    <x v="6"/>
    <x v="0"/>
    <x v="1"/>
  </r>
  <r>
    <x v="363"/>
    <s v="Married"/>
    <x v="0"/>
    <x v="0"/>
    <x v="4"/>
    <x v="0"/>
    <x v="4"/>
    <x v="0"/>
    <n v="2"/>
    <s v="0-1 Miles"/>
    <x v="1"/>
    <x v="29"/>
    <x v="1"/>
    <x v="1"/>
  </r>
  <r>
    <x v="364"/>
    <s v="Single"/>
    <x v="0"/>
    <x v="4"/>
    <x v="4"/>
    <x v="2"/>
    <x v="3"/>
    <x v="0"/>
    <n v="1"/>
    <s v="0-1 Miles"/>
    <x v="0"/>
    <x v="13"/>
    <x v="0"/>
    <x v="1"/>
  </r>
  <r>
    <x v="365"/>
    <s v="Single"/>
    <x v="0"/>
    <x v="0"/>
    <x v="3"/>
    <x v="0"/>
    <x v="1"/>
    <x v="1"/>
    <n v="0"/>
    <s v="0-1 Miles"/>
    <x v="0"/>
    <x v="13"/>
    <x v="0"/>
    <x v="1"/>
  </r>
  <r>
    <x v="366"/>
    <s v="Married"/>
    <x v="1"/>
    <x v="10"/>
    <x v="0"/>
    <x v="1"/>
    <x v="0"/>
    <x v="0"/>
    <n v="1"/>
    <s v="0-1 Miles"/>
    <x v="1"/>
    <x v="12"/>
    <x v="0"/>
    <x v="1"/>
  </r>
  <r>
    <x v="367"/>
    <s v="Married"/>
    <x v="0"/>
    <x v="12"/>
    <x v="1"/>
    <x v="1"/>
    <x v="2"/>
    <x v="0"/>
    <n v="3"/>
    <s v="5-10 Miles"/>
    <x v="0"/>
    <x v="5"/>
    <x v="0"/>
    <x v="1"/>
  </r>
  <r>
    <x v="368"/>
    <s v="Single"/>
    <x v="0"/>
    <x v="1"/>
    <x v="4"/>
    <x v="1"/>
    <x v="1"/>
    <x v="1"/>
    <n v="2"/>
    <s v="5-10 Miles"/>
    <x v="1"/>
    <x v="2"/>
    <x v="1"/>
    <x v="1"/>
  </r>
  <r>
    <x v="369"/>
    <s v="Single"/>
    <x v="0"/>
    <x v="6"/>
    <x v="4"/>
    <x v="1"/>
    <x v="3"/>
    <x v="1"/>
    <n v="1"/>
    <s v="0-1 Miles"/>
    <x v="0"/>
    <x v="39"/>
    <x v="0"/>
    <x v="1"/>
  </r>
  <r>
    <x v="370"/>
    <s v="Married"/>
    <x v="0"/>
    <x v="11"/>
    <x v="5"/>
    <x v="0"/>
    <x v="2"/>
    <x v="0"/>
    <n v="1"/>
    <s v="10+ Miles"/>
    <x v="1"/>
    <x v="30"/>
    <x v="0"/>
    <x v="0"/>
  </r>
  <r>
    <x v="371"/>
    <s v="Single"/>
    <x v="1"/>
    <x v="2"/>
    <x v="2"/>
    <x v="4"/>
    <x v="4"/>
    <x v="0"/>
    <n v="3"/>
    <s v="0-1 Miles"/>
    <x v="1"/>
    <x v="5"/>
    <x v="0"/>
    <x v="0"/>
  </r>
  <r>
    <x v="372"/>
    <s v="Married"/>
    <x v="1"/>
    <x v="0"/>
    <x v="0"/>
    <x v="0"/>
    <x v="0"/>
    <x v="0"/>
    <n v="1"/>
    <s v="0-1 Miles"/>
    <x v="0"/>
    <x v="1"/>
    <x v="0"/>
    <x v="1"/>
  </r>
  <r>
    <x v="373"/>
    <s v="Single"/>
    <x v="1"/>
    <x v="6"/>
    <x v="3"/>
    <x v="2"/>
    <x v="3"/>
    <x v="1"/>
    <n v="1"/>
    <s v="2-5 Miles"/>
    <x v="0"/>
    <x v="25"/>
    <x v="2"/>
    <x v="0"/>
  </r>
  <r>
    <x v="374"/>
    <s v="Single"/>
    <x v="0"/>
    <x v="2"/>
    <x v="2"/>
    <x v="0"/>
    <x v="2"/>
    <x v="0"/>
    <n v="4"/>
    <s v="1-2 Miles"/>
    <x v="1"/>
    <x v="13"/>
    <x v="0"/>
    <x v="0"/>
  </r>
  <r>
    <x v="375"/>
    <s v="Married"/>
    <x v="0"/>
    <x v="0"/>
    <x v="0"/>
    <x v="0"/>
    <x v="0"/>
    <x v="0"/>
    <n v="1"/>
    <s v="0-1 Miles"/>
    <x v="0"/>
    <x v="47"/>
    <x v="1"/>
    <x v="0"/>
  </r>
  <r>
    <x v="376"/>
    <s v="Married"/>
    <x v="1"/>
    <x v="6"/>
    <x v="0"/>
    <x v="0"/>
    <x v="1"/>
    <x v="0"/>
    <n v="0"/>
    <s v="0-1 Miles"/>
    <x v="0"/>
    <x v="46"/>
    <x v="1"/>
    <x v="1"/>
  </r>
  <r>
    <x v="377"/>
    <s v="Married"/>
    <x v="1"/>
    <x v="12"/>
    <x v="1"/>
    <x v="1"/>
    <x v="2"/>
    <x v="1"/>
    <n v="3"/>
    <s v="5-10 Miles"/>
    <x v="0"/>
    <x v="36"/>
    <x v="0"/>
    <x v="1"/>
  </r>
  <r>
    <x v="378"/>
    <s v="Married"/>
    <x v="1"/>
    <x v="1"/>
    <x v="1"/>
    <x v="1"/>
    <x v="1"/>
    <x v="1"/>
    <n v="2"/>
    <s v="5-10 Miles"/>
    <x v="1"/>
    <x v="16"/>
    <x v="1"/>
    <x v="0"/>
  </r>
  <r>
    <x v="379"/>
    <s v="Married"/>
    <x v="1"/>
    <x v="10"/>
    <x v="1"/>
    <x v="0"/>
    <x v="2"/>
    <x v="0"/>
    <n v="2"/>
    <s v="5-10 Miles"/>
    <x v="1"/>
    <x v="1"/>
    <x v="0"/>
    <x v="0"/>
  </r>
  <r>
    <x v="380"/>
    <s v="Single"/>
    <x v="1"/>
    <x v="3"/>
    <x v="3"/>
    <x v="0"/>
    <x v="2"/>
    <x v="1"/>
    <n v="3"/>
    <s v="10+ Miles"/>
    <x v="1"/>
    <x v="25"/>
    <x v="2"/>
    <x v="1"/>
  </r>
  <r>
    <x v="381"/>
    <s v="Married"/>
    <x v="0"/>
    <x v="1"/>
    <x v="4"/>
    <x v="1"/>
    <x v="1"/>
    <x v="0"/>
    <n v="2"/>
    <s v="5-10 Miles"/>
    <x v="1"/>
    <x v="45"/>
    <x v="1"/>
    <x v="0"/>
  </r>
  <r>
    <x v="382"/>
    <s v="Married"/>
    <x v="1"/>
    <x v="2"/>
    <x v="5"/>
    <x v="1"/>
    <x v="2"/>
    <x v="0"/>
    <n v="2"/>
    <s v="10+ Miles"/>
    <x v="0"/>
    <x v="39"/>
    <x v="0"/>
    <x v="0"/>
  </r>
  <r>
    <x v="383"/>
    <s v="Married"/>
    <x v="1"/>
    <x v="0"/>
    <x v="3"/>
    <x v="4"/>
    <x v="1"/>
    <x v="0"/>
    <n v="0"/>
    <s v="0-1 Miles"/>
    <x v="0"/>
    <x v="34"/>
    <x v="0"/>
    <x v="1"/>
  </r>
  <r>
    <x v="384"/>
    <s v="Single"/>
    <x v="0"/>
    <x v="4"/>
    <x v="3"/>
    <x v="1"/>
    <x v="3"/>
    <x v="1"/>
    <n v="1"/>
    <s v="0-1 Miles"/>
    <x v="1"/>
    <x v="26"/>
    <x v="2"/>
    <x v="1"/>
  </r>
  <r>
    <x v="385"/>
    <s v="Single"/>
    <x v="1"/>
    <x v="1"/>
    <x v="1"/>
    <x v="1"/>
    <x v="1"/>
    <x v="0"/>
    <n v="0"/>
    <s v="0-1 Miles"/>
    <x v="0"/>
    <x v="1"/>
    <x v="0"/>
    <x v="0"/>
  </r>
  <r>
    <x v="386"/>
    <s v="Single"/>
    <x v="0"/>
    <x v="7"/>
    <x v="3"/>
    <x v="3"/>
    <x v="2"/>
    <x v="0"/>
    <n v="4"/>
    <s v="10+ Miles"/>
    <x v="1"/>
    <x v="17"/>
    <x v="0"/>
    <x v="1"/>
  </r>
  <r>
    <x v="387"/>
    <s v="Single"/>
    <x v="0"/>
    <x v="6"/>
    <x v="3"/>
    <x v="3"/>
    <x v="3"/>
    <x v="1"/>
    <n v="2"/>
    <s v="1-2 Miles"/>
    <x v="0"/>
    <x v="17"/>
    <x v="0"/>
    <x v="1"/>
  </r>
  <r>
    <x v="388"/>
    <s v="Married"/>
    <x v="0"/>
    <x v="1"/>
    <x v="0"/>
    <x v="0"/>
    <x v="1"/>
    <x v="0"/>
    <n v="0"/>
    <s v="0-1 Miles"/>
    <x v="0"/>
    <x v="46"/>
    <x v="1"/>
    <x v="0"/>
  </r>
  <r>
    <x v="389"/>
    <s v="Married"/>
    <x v="0"/>
    <x v="2"/>
    <x v="3"/>
    <x v="0"/>
    <x v="2"/>
    <x v="0"/>
    <n v="1"/>
    <s v="1-2 Miles"/>
    <x v="1"/>
    <x v="3"/>
    <x v="0"/>
    <x v="1"/>
  </r>
  <r>
    <x v="390"/>
    <s v="Single"/>
    <x v="1"/>
    <x v="3"/>
    <x v="3"/>
    <x v="0"/>
    <x v="2"/>
    <x v="1"/>
    <n v="1"/>
    <s v="5-10 Miles"/>
    <x v="1"/>
    <x v="13"/>
    <x v="0"/>
    <x v="0"/>
  </r>
  <r>
    <x v="391"/>
    <s v="Single"/>
    <x v="0"/>
    <x v="3"/>
    <x v="3"/>
    <x v="0"/>
    <x v="2"/>
    <x v="1"/>
    <n v="1"/>
    <s v="0-1 Miles"/>
    <x v="1"/>
    <x v="3"/>
    <x v="0"/>
    <x v="1"/>
  </r>
  <r>
    <x v="392"/>
    <s v="Single"/>
    <x v="1"/>
    <x v="6"/>
    <x v="0"/>
    <x v="0"/>
    <x v="1"/>
    <x v="1"/>
    <n v="0"/>
    <s v="0-1 Miles"/>
    <x v="0"/>
    <x v="36"/>
    <x v="0"/>
    <x v="0"/>
  </r>
  <r>
    <x v="393"/>
    <s v="Married"/>
    <x v="0"/>
    <x v="4"/>
    <x v="3"/>
    <x v="3"/>
    <x v="3"/>
    <x v="0"/>
    <n v="2"/>
    <s v="1-2 Miles"/>
    <x v="0"/>
    <x v="21"/>
    <x v="0"/>
    <x v="0"/>
  </r>
  <r>
    <x v="394"/>
    <s v="Married"/>
    <x v="0"/>
    <x v="0"/>
    <x v="3"/>
    <x v="0"/>
    <x v="1"/>
    <x v="0"/>
    <n v="0"/>
    <s v="0-1 Miles"/>
    <x v="0"/>
    <x v="13"/>
    <x v="0"/>
    <x v="1"/>
  </r>
  <r>
    <x v="395"/>
    <s v="Married"/>
    <x v="1"/>
    <x v="1"/>
    <x v="0"/>
    <x v="0"/>
    <x v="1"/>
    <x v="0"/>
    <n v="0"/>
    <s v="0-1 Miles"/>
    <x v="0"/>
    <x v="13"/>
    <x v="0"/>
    <x v="1"/>
  </r>
  <r>
    <x v="396"/>
    <s v="Single"/>
    <x v="1"/>
    <x v="10"/>
    <x v="4"/>
    <x v="0"/>
    <x v="2"/>
    <x v="0"/>
    <n v="1"/>
    <s v="2-5 Miles"/>
    <x v="1"/>
    <x v="13"/>
    <x v="0"/>
    <x v="1"/>
  </r>
  <r>
    <x v="397"/>
    <s v="Married"/>
    <x v="0"/>
    <x v="4"/>
    <x v="4"/>
    <x v="3"/>
    <x v="1"/>
    <x v="0"/>
    <n v="2"/>
    <s v="5-10 Miles"/>
    <x v="1"/>
    <x v="7"/>
    <x v="1"/>
    <x v="0"/>
  </r>
  <r>
    <x v="398"/>
    <s v="Single"/>
    <x v="1"/>
    <x v="1"/>
    <x v="0"/>
    <x v="0"/>
    <x v="1"/>
    <x v="0"/>
    <n v="1"/>
    <s v="1-2 Miles"/>
    <x v="0"/>
    <x v="32"/>
    <x v="0"/>
    <x v="1"/>
  </r>
  <r>
    <x v="399"/>
    <s v="Single"/>
    <x v="0"/>
    <x v="0"/>
    <x v="4"/>
    <x v="0"/>
    <x v="4"/>
    <x v="1"/>
    <n v="1"/>
    <s v="5-10 Miles"/>
    <x v="1"/>
    <x v="39"/>
    <x v="0"/>
    <x v="1"/>
  </r>
  <r>
    <x v="400"/>
    <s v="Single"/>
    <x v="0"/>
    <x v="15"/>
    <x v="1"/>
    <x v="0"/>
    <x v="4"/>
    <x v="0"/>
    <n v="4"/>
    <s v="10+ Miles"/>
    <x v="0"/>
    <x v="39"/>
    <x v="0"/>
    <x v="0"/>
  </r>
  <r>
    <x v="401"/>
    <s v="Married"/>
    <x v="0"/>
    <x v="0"/>
    <x v="0"/>
    <x v="0"/>
    <x v="1"/>
    <x v="0"/>
    <n v="0"/>
    <s v="0-1 Miles"/>
    <x v="0"/>
    <x v="48"/>
    <x v="1"/>
    <x v="0"/>
  </r>
  <r>
    <x v="402"/>
    <s v="Married"/>
    <x v="1"/>
    <x v="4"/>
    <x v="0"/>
    <x v="4"/>
    <x v="3"/>
    <x v="0"/>
    <n v="0"/>
    <s v="0-1 Miles"/>
    <x v="0"/>
    <x v="20"/>
    <x v="0"/>
    <x v="0"/>
  </r>
  <r>
    <x v="403"/>
    <s v="Married"/>
    <x v="1"/>
    <x v="6"/>
    <x v="0"/>
    <x v="4"/>
    <x v="1"/>
    <x v="0"/>
    <n v="0"/>
    <s v="0-1 Miles"/>
    <x v="0"/>
    <x v="20"/>
    <x v="0"/>
    <x v="0"/>
  </r>
  <r>
    <x v="404"/>
    <s v="Married"/>
    <x v="1"/>
    <x v="1"/>
    <x v="1"/>
    <x v="2"/>
    <x v="0"/>
    <x v="0"/>
    <n v="2"/>
    <s v="5-10 Miles"/>
    <x v="1"/>
    <x v="9"/>
    <x v="0"/>
    <x v="1"/>
  </r>
  <r>
    <x v="405"/>
    <s v="Married"/>
    <x v="0"/>
    <x v="1"/>
    <x v="3"/>
    <x v="0"/>
    <x v="1"/>
    <x v="0"/>
    <n v="0"/>
    <s v="0-1 Miles"/>
    <x v="0"/>
    <x v="34"/>
    <x v="0"/>
    <x v="1"/>
  </r>
  <r>
    <x v="406"/>
    <s v="Married"/>
    <x v="0"/>
    <x v="0"/>
    <x v="0"/>
    <x v="0"/>
    <x v="0"/>
    <x v="0"/>
    <n v="0"/>
    <s v="0-1 Miles"/>
    <x v="0"/>
    <x v="3"/>
    <x v="0"/>
    <x v="0"/>
  </r>
  <r>
    <x v="407"/>
    <s v="Single"/>
    <x v="0"/>
    <x v="8"/>
    <x v="4"/>
    <x v="0"/>
    <x v="2"/>
    <x v="1"/>
    <n v="0"/>
    <s v="0-1 Miles"/>
    <x v="1"/>
    <x v="4"/>
    <x v="0"/>
    <x v="1"/>
  </r>
  <r>
    <x v="408"/>
    <s v="Single"/>
    <x v="0"/>
    <x v="0"/>
    <x v="4"/>
    <x v="1"/>
    <x v="1"/>
    <x v="0"/>
    <n v="0"/>
    <s v="0-1 Miles"/>
    <x v="0"/>
    <x v="6"/>
    <x v="0"/>
    <x v="0"/>
  </r>
  <r>
    <x v="409"/>
    <s v="Married"/>
    <x v="0"/>
    <x v="12"/>
    <x v="1"/>
    <x v="1"/>
    <x v="2"/>
    <x v="0"/>
    <n v="4"/>
    <s v="0-1 Miles"/>
    <x v="0"/>
    <x v="31"/>
    <x v="0"/>
    <x v="0"/>
  </r>
  <r>
    <x v="410"/>
    <s v="Married"/>
    <x v="0"/>
    <x v="6"/>
    <x v="4"/>
    <x v="1"/>
    <x v="3"/>
    <x v="0"/>
    <n v="1"/>
    <s v="0-1 Miles"/>
    <x v="0"/>
    <x v="30"/>
    <x v="0"/>
    <x v="1"/>
  </r>
  <r>
    <x v="411"/>
    <s v="Married"/>
    <x v="1"/>
    <x v="3"/>
    <x v="2"/>
    <x v="1"/>
    <x v="0"/>
    <x v="0"/>
    <n v="2"/>
    <s v="5-10 Miles"/>
    <x v="1"/>
    <x v="1"/>
    <x v="0"/>
    <x v="0"/>
  </r>
  <r>
    <x v="412"/>
    <s v="Single"/>
    <x v="1"/>
    <x v="0"/>
    <x v="4"/>
    <x v="1"/>
    <x v="1"/>
    <x v="0"/>
    <n v="0"/>
    <s v="0-1 Miles"/>
    <x v="0"/>
    <x v="17"/>
    <x v="0"/>
    <x v="0"/>
  </r>
  <r>
    <x v="413"/>
    <s v="Single"/>
    <x v="0"/>
    <x v="1"/>
    <x v="4"/>
    <x v="1"/>
    <x v="1"/>
    <x v="1"/>
    <n v="2"/>
    <s v="5-10 Miles"/>
    <x v="1"/>
    <x v="41"/>
    <x v="1"/>
    <x v="0"/>
  </r>
  <r>
    <x v="414"/>
    <s v="Married"/>
    <x v="0"/>
    <x v="0"/>
    <x v="3"/>
    <x v="4"/>
    <x v="1"/>
    <x v="0"/>
    <n v="0"/>
    <s v="0-1 Miles"/>
    <x v="0"/>
    <x v="11"/>
    <x v="0"/>
    <x v="1"/>
  </r>
  <r>
    <x v="415"/>
    <s v="Married"/>
    <x v="0"/>
    <x v="2"/>
    <x v="2"/>
    <x v="4"/>
    <x v="4"/>
    <x v="0"/>
    <n v="3"/>
    <s v="0-1 Miles"/>
    <x v="1"/>
    <x v="8"/>
    <x v="0"/>
    <x v="0"/>
  </r>
  <r>
    <x v="416"/>
    <s v="Single"/>
    <x v="1"/>
    <x v="10"/>
    <x v="4"/>
    <x v="0"/>
    <x v="2"/>
    <x v="1"/>
    <n v="1"/>
    <s v="0-1 Miles"/>
    <x v="1"/>
    <x v="34"/>
    <x v="0"/>
    <x v="1"/>
  </r>
  <r>
    <x v="417"/>
    <s v="Single"/>
    <x v="0"/>
    <x v="1"/>
    <x v="4"/>
    <x v="1"/>
    <x v="1"/>
    <x v="1"/>
    <n v="2"/>
    <s v="5-10 Miles"/>
    <x v="1"/>
    <x v="41"/>
    <x v="1"/>
    <x v="0"/>
  </r>
  <r>
    <x v="418"/>
    <s v="Married"/>
    <x v="1"/>
    <x v="1"/>
    <x v="0"/>
    <x v="0"/>
    <x v="0"/>
    <x v="0"/>
    <n v="2"/>
    <s v="0-1 Miles"/>
    <x v="0"/>
    <x v="3"/>
    <x v="0"/>
    <x v="1"/>
  </r>
  <r>
    <x v="419"/>
    <s v="Single"/>
    <x v="1"/>
    <x v="4"/>
    <x v="4"/>
    <x v="1"/>
    <x v="3"/>
    <x v="0"/>
    <n v="1"/>
    <s v="0-1 Miles"/>
    <x v="0"/>
    <x v="36"/>
    <x v="0"/>
    <x v="1"/>
  </r>
  <r>
    <x v="420"/>
    <s v="Married"/>
    <x v="0"/>
    <x v="11"/>
    <x v="4"/>
    <x v="0"/>
    <x v="4"/>
    <x v="0"/>
    <n v="4"/>
    <s v="10+ Miles"/>
    <x v="0"/>
    <x v="14"/>
    <x v="1"/>
    <x v="0"/>
  </r>
  <r>
    <x v="421"/>
    <s v="Married"/>
    <x v="1"/>
    <x v="4"/>
    <x v="4"/>
    <x v="1"/>
    <x v="3"/>
    <x v="0"/>
    <n v="0"/>
    <s v="1-2 Miles"/>
    <x v="0"/>
    <x v="36"/>
    <x v="0"/>
    <x v="0"/>
  </r>
  <r>
    <x v="422"/>
    <s v="Single"/>
    <x v="1"/>
    <x v="15"/>
    <x v="3"/>
    <x v="1"/>
    <x v="4"/>
    <x v="1"/>
    <n v="3"/>
    <s v="10+ Miles"/>
    <x v="1"/>
    <x v="21"/>
    <x v="0"/>
    <x v="1"/>
  </r>
  <r>
    <x v="423"/>
    <s v="Single"/>
    <x v="1"/>
    <x v="1"/>
    <x v="3"/>
    <x v="2"/>
    <x v="3"/>
    <x v="0"/>
    <n v="1"/>
    <s v="2-5 Miles"/>
    <x v="0"/>
    <x v="17"/>
    <x v="0"/>
    <x v="1"/>
  </r>
  <r>
    <x v="424"/>
    <s v="Single"/>
    <x v="0"/>
    <x v="4"/>
    <x v="1"/>
    <x v="3"/>
    <x v="3"/>
    <x v="0"/>
    <n v="2"/>
    <s v="0-1 Miles"/>
    <x v="0"/>
    <x v="1"/>
    <x v="0"/>
    <x v="0"/>
  </r>
  <r>
    <x v="425"/>
    <s v="Married"/>
    <x v="1"/>
    <x v="0"/>
    <x v="4"/>
    <x v="0"/>
    <x v="4"/>
    <x v="0"/>
    <n v="2"/>
    <s v="0-1 Miles"/>
    <x v="1"/>
    <x v="41"/>
    <x v="1"/>
    <x v="0"/>
  </r>
  <r>
    <x v="426"/>
    <s v="Single"/>
    <x v="1"/>
    <x v="1"/>
    <x v="3"/>
    <x v="1"/>
    <x v="1"/>
    <x v="1"/>
    <n v="1"/>
    <s v="2-5 Miles"/>
    <x v="0"/>
    <x v="26"/>
    <x v="2"/>
    <x v="0"/>
  </r>
  <r>
    <x v="427"/>
    <s v="Single"/>
    <x v="0"/>
    <x v="8"/>
    <x v="0"/>
    <x v="4"/>
    <x v="4"/>
    <x v="0"/>
    <n v="0"/>
    <s v="0-1 Miles"/>
    <x v="1"/>
    <x v="4"/>
    <x v="0"/>
    <x v="1"/>
  </r>
  <r>
    <x v="428"/>
    <s v="Married"/>
    <x v="1"/>
    <x v="15"/>
    <x v="5"/>
    <x v="0"/>
    <x v="4"/>
    <x v="0"/>
    <n v="3"/>
    <s v="2-5 Miles"/>
    <x v="1"/>
    <x v="28"/>
    <x v="0"/>
    <x v="0"/>
  </r>
  <r>
    <x v="429"/>
    <s v="Single"/>
    <x v="0"/>
    <x v="1"/>
    <x v="3"/>
    <x v="1"/>
    <x v="1"/>
    <x v="0"/>
    <n v="1"/>
    <s v="2-5 Miles"/>
    <x v="0"/>
    <x v="23"/>
    <x v="0"/>
    <x v="0"/>
  </r>
  <r>
    <x v="430"/>
    <s v="Single"/>
    <x v="0"/>
    <x v="1"/>
    <x v="1"/>
    <x v="2"/>
    <x v="0"/>
    <x v="0"/>
    <n v="2"/>
    <s v="5-10 Miles"/>
    <x v="1"/>
    <x v="10"/>
    <x v="1"/>
    <x v="0"/>
  </r>
  <r>
    <x v="431"/>
    <s v="Single"/>
    <x v="1"/>
    <x v="6"/>
    <x v="3"/>
    <x v="1"/>
    <x v="3"/>
    <x v="0"/>
    <n v="0"/>
    <s v="0-1 Miles"/>
    <x v="1"/>
    <x v="26"/>
    <x v="2"/>
    <x v="1"/>
  </r>
  <r>
    <x v="432"/>
    <s v="Married"/>
    <x v="0"/>
    <x v="15"/>
    <x v="3"/>
    <x v="2"/>
    <x v="4"/>
    <x v="0"/>
    <n v="3"/>
    <s v="10+ Miles"/>
    <x v="1"/>
    <x v="17"/>
    <x v="0"/>
    <x v="1"/>
  </r>
  <r>
    <x v="433"/>
    <s v="Single"/>
    <x v="0"/>
    <x v="1"/>
    <x v="1"/>
    <x v="1"/>
    <x v="1"/>
    <x v="1"/>
    <n v="1"/>
    <s v="0-1 Miles"/>
    <x v="0"/>
    <x v="22"/>
    <x v="2"/>
    <x v="0"/>
  </r>
  <r>
    <x v="434"/>
    <s v="Married"/>
    <x v="0"/>
    <x v="1"/>
    <x v="1"/>
    <x v="2"/>
    <x v="0"/>
    <x v="0"/>
    <n v="2"/>
    <s v="5-10 Miles"/>
    <x v="1"/>
    <x v="39"/>
    <x v="0"/>
    <x v="1"/>
  </r>
  <r>
    <x v="435"/>
    <s v="Single"/>
    <x v="0"/>
    <x v="4"/>
    <x v="4"/>
    <x v="0"/>
    <x v="1"/>
    <x v="1"/>
    <n v="1"/>
    <s v="2-5 Miles"/>
    <x v="0"/>
    <x v="35"/>
    <x v="1"/>
    <x v="0"/>
  </r>
  <r>
    <x v="436"/>
    <s v="Married"/>
    <x v="0"/>
    <x v="2"/>
    <x v="4"/>
    <x v="2"/>
    <x v="0"/>
    <x v="0"/>
    <n v="2"/>
    <s v="5-10 Miles"/>
    <x v="1"/>
    <x v="5"/>
    <x v="0"/>
    <x v="1"/>
  </r>
  <r>
    <x v="437"/>
    <s v="Single"/>
    <x v="0"/>
    <x v="1"/>
    <x v="1"/>
    <x v="1"/>
    <x v="1"/>
    <x v="0"/>
    <n v="2"/>
    <s v="0-1 Miles"/>
    <x v="0"/>
    <x v="26"/>
    <x v="2"/>
    <x v="1"/>
  </r>
  <r>
    <x v="438"/>
    <s v="Single"/>
    <x v="0"/>
    <x v="2"/>
    <x v="3"/>
    <x v="4"/>
    <x v="0"/>
    <x v="1"/>
    <n v="0"/>
    <s v="0-1 Miles"/>
    <x v="0"/>
    <x v="8"/>
    <x v="0"/>
    <x v="1"/>
  </r>
  <r>
    <x v="439"/>
    <s v="Married"/>
    <x v="1"/>
    <x v="3"/>
    <x v="2"/>
    <x v="1"/>
    <x v="0"/>
    <x v="0"/>
    <n v="2"/>
    <s v="0-1 Miles"/>
    <x v="1"/>
    <x v="20"/>
    <x v="0"/>
    <x v="0"/>
  </r>
  <r>
    <x v="440"/>
    <s v="Single"/>
    <x v="1"/>
    <x v="8"/>
    <x v="3"/>
    <x v="0"/>
    <x v="2"/>
    <x v="1"/>
    <n v="3"/>
    <s v="10+ Miles"/>
    <x v="1"/>
    <x v="17"/>
    <x v="0"/>
    <x v="1"/>
  </r>
  <r>
    <x v="441"/>
    <s v="Married"/>
    <x v="1"/>
    <x v="3"/>
    <x v="4"/>
    <x v="1"/>
    <x v="0"/>
    <x v="0"/>
    <n v="2"/>
    <s v="5-10 Miles"/>
    <x v="1"/>
    <x v="31"/>
    <x v="0"/>
    <x v="1"/>
  </r>
  <r>
    <x v="442"/>
    <s v="Single"/>
    <x v="1"/>
    <x v="2"/>
    <x v="5"/>
    <x v="4"/>
    <x v="4"/>
    <x v="0"/>
    <n v="0"/>
    <s v="0-1 Miles"/>
    <x v="1"/>
    <x v="4"/>
    <x v="0"/>
    <x v="1"/>
  </r>
  <r>
    <x v="443"/>
    <s v="Married"/>
    <x v="0"/>
    <x v="0"/>
    <x v="0"/>
    <x v="0"/>
    <x v="0"/>
    <x v="0"/>
    <n v="1"/>
    <s v="0-1 Miles"/>
    <x v="0"/>
    <x v="1"/>
    <x v="0"/>
    <x v="1"/>
  </r>
  <r>
    <x v="444"/>
    <s v="Single"/>
    <x v="1"/>
    <x v="1"/>
    <x v="3"/>
    <x v="2"/>
    <x v="3"/>
    <x v="1"/>
    <n v="1"/>
    <s v="1-2 Miles"/>
    <x v="0"/>
    <x v="21"/>
    <x v="0"/>
    <x v="0"/>
  </r>
  <r>
    <x v="445"/>
    <s v="Married"/>
    <x v="0"/>
    <x v="0"/>
    <x v="0"/>
    <x v="0"/>
    <x v="0"/>
    <x v="0"/>
    <n v="1"/>
    <s v="1-2 Miles"/>
    <x v="0"/>
    <x v="21"/>
    <x v="0"/>
    <x v="1"/>
  </r>
  <r>
    <x v="446"/>
    <s v="Married"/>
    <x v="0"/>
    <x v="12"/>
    <x v="3"/>
    <x v="4"/>
    <x v="4"/>
    <x v="0"/>
    <n v="1"/>
    <s v="10+ Miles"/>
    <x v="1"/>
    <x v="28"/>
    <x v="0"/>
    <x v="0"/>
  </r>
  <r>
    <x v="447"/>
    <s v="Married"/>
    <x v="0"/>
    <x v="0"/>
    <x v="0"/>
    <x v="0"/>
    <x v="0"/>
    <x v="0"/>
    <n v="0"/>
    <s v="1-2 Miles"/>
    <x v="0"/>
    <x v="21"/>
    <x v="0"/>
    <x v="1"/>
  </r>
  <r>
    <x v="448"/>
    <s v="Married"/>
    <x v="0"/>
    <x v="1"/>
    <x v="1"/>
    <x v="4"/>
    <x v="1"/>
    <x v="0"/>
    <n v="0"/>
    <s v="0-1 Miles"/>
    <x v="0"/>
    <x v="30"/>
    <x v="0"/>
    <x v="0"/>
  </r>
  <r>
    <x v="449"/>
    <s v="Married"/>
    <x v="0"/>
    <x v="0"/>
    <x v="0"/>
    <x v="0"/>
    <x v="0"/>
    <x v="0"/>
    <n v="0"/>
    <s v="0-1 Miles"/>
    <x v="0"/>
    <x v="0"/>
    <x v="0"/>
    <x v="0"/>
  </r>
  <r>
    <x v="450"/>
    <s v="Single"/>
    <x v="0"/>
    <x v="4"/>
    <x v="4"/>
    <x v="2"/>
    <x v="3"/>
    <x v="0"/>
    <n v="0"/>
    <s v="0-1 Miles"/>
    <x v="0"/>
    <x v="4"/>
    <x v="0"/>
    <x v="1"/>
  </r>
  <r>
    <x v="451"/>
    <s v="Married"/>
    <x v="0"/>
    <x v="0"/>
    <x v="0"/>
    <x v="0"/>
    <x v="0"/>
    <x v="0"/>
    <n v="0"/>
    <s v="0-1 Miles"/>
    <x v="0"/>
    <x v="3"/>
    <x v="0"/>
    <x v="0"/>
  </r>
  <r>
    <x v="452"/>
    <s v="Married"/>
    <x v="0"/>
    <x v="1"/>
    <x v="4"/>
    <x v="1"/>
    <x v="1"/>
    <x v="1"/>
    <n v="2"/>
    <s v="0-1 Miles"/>
    <x v="1"/>
    <x v="45"/>
    <x v="1"/>
    <x v="0"/>
  </r>
  <r>
    <x v="453"/>
    <s v="Single"/>
    <x v="0"/>
    <x v="3"/>
    <x v="2"/>
    <x v="1"/>
    <x v="0"/>
    <x v="0"/>
    <n v="2"/>
    <s v="5-10 Miles"/>
    <x v="1"/>
    <x v="12"/>
    <x v="0"/>
    <x v="0"/>
  </r>
  <r>
    <x v="454"/>
    <s v="Single"/>
    <x v="1"/>
    <x v="1"/>
    <x v="3"/>
    <x v="2"/>
    <x v="3"/>
    <x v="1"/>
    <n v="1"/>
    <s v="2-5 Miles"/>
    <x v="0"/>
    <x v="17"/>
    <x v="0"/>
    <x v="0"/>
  </r>
  <r>
    <x v="455"/>
    <s v="Married"/>
    <x v="0"/>
    <x v="2"/>
    <x v="5"/>
    <x v="1"/>
    <x v="2"/>
    <x v="1"/>
    <n v="1"/>
    <s v="2-5 Miles"/>
    <x v="0"/>
    <x v="39"/>
    <x v="0"/>
    <x v="1"/>
  </r>
  <r>
    <x v="456"/>
    <s v="Single"/>
    <x v="1"/>
    <x v="7"/>
    <x v="1"/>
    <x v="2"/>
    <x v="2"/>
    <x v="1"/>
    <n v="4"/>
    <s v="5-10 Miles"/>
    <x v="0"/>
    <x v="5"/>
    <x v="0"/>
    <x v="0"/>
  </r>
  <r>
    <x v="457"/>
    <s v="Married"/>
    <x v="0"/>
    <x v="6"/>
    <x v="0"/>
    <x v="1"/>
    <x v="3"/>
    <x v="0"/>
    <n v="0"/>
    <s v="0-1 Miles"/>
    <x v="0"/>
    <x v="27"/>
    <x v="1"/>
    <x v="0"/>
  </r>
  <r>
    <x v="458"/>
    <s v="Married"/>
    <x v="1"/>
    <x v="7"/>
    <x v="3"/>
    <x v="3"/>
    <x v="2"/>
    <x v="0"/>
    <n v="4"/>
    <s v="10+ Miles"/>
    <x v="1"/>
    <x v="21"/>
    <x v="0"/>
    <x v="1"/>
  </r>
  <r>
    <x v="459"/>
    <s v="Single"/>
    <x v="0"/>
    <x v="2"/>
    <x v="3"/>
    <x v="0"/>
    <x v="2"/>
    <x v="1"/>
    <n v="3"/>
    <s v="10+ Miles"/>
    <x v="1"/>
    <x v="6"/>
    <x v="0"/>
    <x v="0"/>
  </r>
  <r>
    <x v="460"/>
    <s v="Single"/>
    <x v="1"/>
    <x v="6"/>
    <x v="3"/>
    <x v="3"/>
    <x v="3"/>
    <x v="0"/>
    <n v="2"/>
    <s v="1-2 Miles"/>
    <x v="0"/>
    <x v="23"/>
    <x v="0"/>
    <x v="1"/>
  </r>
  <r>
    <x v="461"/>
    <s v="Married"/>
    <x v="0"/>
    <x v="7"/>
    <x v="0"/>
    <x v="0"/>
    <x v="4"/>
    <x v="0"/>
    <n v="2"/>
    <s v="0-1 Miles"/>
    <x v="1"/>
    <x v="30"/>
    <x v="0"/>
    <x v="1"/>
  </r>
  <r>
    <x v="462"/>
    <s v="Married"/>
    <x v="0"/>
    <x v="0"/>
    <x v="3"/>
    <x v="0"/>
    <x v="1"/>
    <x v="0"/>
    <n v="0"/>
    <s v="0-1 Miles"/>
    <x v="0"/>
    <x v="32"/>
    <x v="0"/>
    <x v="1"/>
  </r>
  <r>
    <x v="463"/>
    <s v="Single"/>
    <x v="1"/>
    <x v="6"/>
    <x v="4"/>
    <x v="2"/>
    <x v="3"/>
    <x v="0"/>
    <n v="1"/>
    <s v="0-1 Miles"/>
    <x v="0"/>
    <x v="8"/>
    <x v="0"/>
    <x v="0"/>
  </r>
  <r>
    <x v="464"/>
    <s v="Single"/>
    <x v="0"/>
    <x v="1"/>
    <x v="1"/>
    <x v="0"/>
    <x v="1"/>
    <x v="0"/>
    <n v="0"/>
    <s v="0-1 Miles"/>
    <x v="0"/>
    <x v="30"/>
    <x v="0"/>
    <x v="1"/>
  </r>
  <r>
    <x v="465"/>
    <s v="Married"/>
    <x v="1"/>
    <x v="0"/>
    <x v="4"/>
    <x v="0"/>
    <x v="4"/>
    <x v="0"/>
    <n v="2"/>
    <s v="0-1 Miles"/>
    <x v="1"/>
    <x v="27"/>
    <x v="1"/>
    <x v="0"/>
  </r>
  <r>
    <x v="466"/>
    <s v="Single"/>
    <x v="0"/>
    <x v="1"/>
    <x v="1"/>
    <x v="0"/>
    <x v="1"/>
    <x v="0"/>
    <n v="0"/>
    <s v="0-1 Miles"/>
    <x v="0"/>
    <x v="15"/>
    <x v="0"/>
    <x v="1"/>
  </r>
  <r>
    <x v="467"/>
    <s v="Single"/>
    <x v="1"/>
    <x v="11"/>
    <x v="0"/>
    <x v="0"/>
    <x v="4"/>
    <x v="1"/>
    <n v="3"/>
    <s v="0-1 Miles"/>
    <x v="1"/>
    <x v="30"/>
    <x v="0"/>
    <x v="1"/>
  </r>
  <r>
    <x v="468"/>
    <s v="Married"/>
    <x v="0"/>
    <x v="2"/>
    <x v="2"/>
    <x v="4"/>
    <x v="4"/>
    <x v="0"/>
    <n v="3"/>
    <s v="0-1 Miles"/>
    <x v="1"/>
    <x v="8"/>
    <x v="0"/>
    <x v="0"/>
  </r>
  <r>
    <x v="469"/>
    <s v="Married"/>
    <x v="0"/>
    <x v="1"/>
    <x v="0"/>
    <x v="0"/>
    <x v="1"/>
    <x v="0"/>
    <n v="0"/>
    <s v="0-1 Miles"/>
    <x v="0"/>
    <x v="27"/>
    <x v="1"/>
    <x v="0"/>
  </r>
  <r>
    <x v="470"/>
    <s v="Single"/>
    <x v="1"/>
    <x v="1"/>
    <x v="3"/>
    <x v="2"/>
    <x v="3"/>
    <x v="1"/>
    <n v="1"/>
    <s v="1-2 Miles"/>
    <x v="0"/>
    <x v="26"/>
    <x v="2"/>
    <x v="0"/>
  </r>
  <r>
    <x v="471"/>
    <s v="Single"/>
    <x v="1"/>
    <x v="3"/>
    <x v="3"/>
    <x v="0"/>
    <x v="2"/>
    <x v="1"/>
    <n v="2"/>
    <s v="5-10 Miles"/>
    <x v="1"/>
    <x v="1"/>
    <x v="0"/>
    <x v="1"/>
  </r>
  <r>
    <x v="472"/>
    <s v="Single"/>
    <x v="0"/>
    <x v="0"/>
    <x v="3"/>
    <x v="4"/>
    <x v="1"/>
    <x v="0"/>
    <n v="0"/>
    <s v="0-1 Miles"/>
    <x v="0"/>
    <x v="13"/>
    <x v="0"/>
    <x v="1"/>
  </r>
  <r>
    <x v="473"/>
    <s v="Married"/>
    <x v="0"/>
    <x v="1"/>
    <x v="3"/>
    <x v="0"/>
    <x v="1"/>
    <x v="0"/>
    <n v="0"/>
    <s v="0-1 Miles"/>
    <x v="0"/>
    <x v="15"/>
    <x v="0"/>
    <x v="1"/>
  </r>
  <r>
    <x v="474"/>
    <s v="Married"/>
    <x v="0"/>
    <x v="8"/>
    <x v="4"/>
    <x v="0"/>
    <x v="2"/>
    <x v="1"/>
    <n v="0"/>
    <s v="0-1 Miles"/>
    <x v="1"/>
    <x v="4"/>
    <x v="0"/>
    <x v="1"/>
  </r>
  <r>
    <x v="475"/>
    <s v="Married"/>
    <x v="1"/>
    <x v="6"/>
    <x v="5"/>
    <x v="2"/>
    <x v="0"/>
    <x v="1"/>
    <n v="2"/>
    <s v="1-2 Miles"/>
    <x v="1"/>
    <x v="2"/>
    <x v="1"/>
    <x v="0"/>
  </r>
  <r>
    <x v="476"/>
    <s v="Single"/>
    <x v="0"/>
    <x v="3"/>
    <x v="3"/>
    <x v="0"/>
    <x v="2"/>
    <x v="0"/>
    <n v="1"/>
    <s v="5-10 Miles"/>
    <x v="1"/>
    <x v="0"/>
    <x v="0"/>
    <x v="1"/>
  </r>
  <r>
    <x v="477"/>
    <s v="Married"/>
    <x v="1"/>
    <x v="3"/>
    <x v="4"/>
    <x v="2"/>
    <x v="0"/>
    <x v="1"/>
    <n v="2"/>
    <s v="1-2 Miles"/>
    <x v="1"/>
    <x v="5"/>
    <x v="0"/>
    <x v="1"/>
  </r>
  <r>
    <x v="478"/>
    <s v="Married"/>
    <x v="1"/>
    <x v="1"/>
    <x v="3"/>
    <x v="0"/>
    <x v="1"/>
    <x v="0"/>
    <n v="0"/>
    <s v="0-1 Miles"/>
    <x v="0"/>
    <x v="11"/>
    <x v="0"/>
    <x v="1"/>
  </r>
  <r>
    <x v="479"/>
    <s v="Married"/>
    <x v="1"/>
    <x v="0"/>
    <x v="0"/>
    <x v="0"/>
    <x v="0"/>
    <x v="0"/>
    <n v="1"/>
    <s v="0-1 Miles"/>
    <x v="0"/>
    <x v="21"/>
    <x v="0"/>
    <x v="1"/>
  </r>
  <r>
    <x v="480"/>
    <s v="Married"/>
    <x v="0"/>
    <x v="8"/>
    <x v="0"/>
    <x v="0"/>
    <x v="2"/>
    <x v="0"/>
    <n v="1"/>
    <s v="5-10 Miles"/>
    <x v="1"/>
    <x v="30"/>
    <x v="0"/>
    <x v="0"/>
  </r>
  <r>
    <x v="481"/>
    <s v="Single"/>
    <x v="0"/>
    <x v="0"/>
    <x v="4"/>
    <x v="1"/>
    <x v="1"/>
    <x v="0"/>
    <n v="0"/>
    <s v="1-2 Miles"/>
    <x v="0"/>
    <x v="6"/>
    <x v="0"/>
    <x v="1"/>
  </r>
  <r>
    <x v="482"/>
    <s v="Single"/>
    <x v="1"/>
    <x v="0"/>
    <x v="3"/>
    <x v="4"/>
    <x v="1"/>
    <x v="1"/>
    <n v="0"/>
    <s v="0-1 Miles"/>
    <x v="0"/>
    <x v="4"/>
    <x v="0"/>
    <x v="1"/>
  </r>
  <r>
    <x v="483"/>
    <s v="Married"/>
    <x v="1"/>
    <x v="4"/>
    <x v="0"/>
    <x v="4"/>
    <x v="1"/>
    <x v="0"/>
    <n v="0"/>
    <s v="0-1 Miles"/>
    <x v="0"/>
    <x v="43"/>
    <x v="1"/>
    <x v="0"/>
  </r>
  <r>
    <x v="484"/>
    <s v="Single"/>
    <x v="0"/>
    <x v="1"/>
    <x v="3"/>
    <x v="1"/>
    <x v="1"/>
    <x v="1"/>
    <n v="1"/>
    <s v="2-5 Miles"/>
    <x v="0"/>
    <x v="23"/>
    <x v="0"/>
    <x v="1"/>
  </r>
  <r>
    <x v="485"/>
    <s v="Single"/>
    <x v="1"/>
    <x v="1"/>
    <x v="4"/>
    <x v="1"/>
    <x v="1"/>
    <x v="0"/>
    <n v="2"/>
    <s v="0-1 Miles"/>
    <x v="0"/>
    <x v="0"/>
    <x v="0"/>
    <x v="0"/>
  </r>
  <r>
    <x v="486"/>
    <s v="Married"/>
    <x v="0"/>
    <x v="8"/>
    <x v="5"/>
    <x v="3"/>
    <x v="0"/>
    <x v="0"/>
    <n v="4"/>
    <s v="10+ Miles"/>
    <x v="0"/>
    <x v="7"/>
    <x v="1"/>
    <x v="0"/>
  </r>
  <r>
    <x v="487"/>
    <s v="Married"/>
    <x v="1"/>
    <x v="0"/>
    <x v="3"/>
    <x v="0"/>
    <x v="1"/>
    <x v="0"/>
    <n v="0"/>
    <s v="0-1 Miles"/>
    <x v="0"/>
    <x v="32"/>
    <x v="0"/>
    <x v="0"/>
  </r>
  <r>
    <x v="488"/>
    <s v="Single"/>
    <x v="0"/>
    <x v="4"/>
    <x v="3"/>
    <x v="3"/>
    <x v="3"/>
    <x v="0"/>
    <n v="2"/>
    <s v="1-2 Miles"/>
    <x v="0"/>
    <x v="17"/>
    <x v="0"/>
    <x v="0"/>
  </r>
  <r>
    <x v="489"/>
    <s v="Married"/>
    <x v="1"/>
    <x v="6"/>
    <x v="3"/>
    <x v="3"/>
    <x v="3"/>
    <x v="0"/>
    <n v="2"/>
    <s v="0-1 Miles"/>
    <x v="0"/>
    <x v="21"/>
    <x v="0"/>
    <x v="0"/>
  </r>
  <r>
    <x v="490"/>
    <s v="Married"/>
    <x v="1"/>
    <x v="10"/>
    <x v="5"/>
    <x v="0"/>
    <x v="2"/>
    <x v="0"/>
    <n v="0"/>
    <s v="2-5 Miles"/>
    <x v="2"/>
    <x v="30"/>
    <x v="0"/>
    <x v="0"/>
  </r>
  <r>
    <x v="491"/>
    <s v="Married"/>
    <x v="1"/>
    <x v="3"/>
    <x v="4"/>
    <x v="3"/>
    <x v="0"/>
    <x v="0"/>
    <n v="2"/>
    <s v="5-10 Miles"/>
    <x v="2"/>
    <x v="28"/>
    <x v="0"/>
    <x v="0"/>
  </r>
  <r>
    <x v="492"/>
    <s v="Single"/>
    <x v="0"/>
    <x v="0"/>
    <x v="1"/>
    <x v="1"/>
    <x v="1"/>
    <x v="0"/>
    <n v="1"/>
    <s v="1-2 Miles"/>
    <x v="2"/>
    <x v="23"/>
    <x v="0"/>
    <x v="1"/>
  </r>
  <r>
    <x v="493"/>
    <s v="Single"/>
    <x v="1"/>
    <x v="3"/>
    <x v="2"/>
    <x v="0"/>
    <x v="4"/>
    <x v="0"/>
    <n v="3"/>
    <s v="10+ Miles"/>
    <x v="2"/>
    <x v="2"/>
    <x v="1"/>
    <x v="1"/>
  </r>
  <r>
    <x v="494"/>
    <s v="Married"/>
    <x v="1"/>
    <x v="3"/>
    <x v="5"/>
    <x v="2"/>
    <x v="2"/>
    <x v="0"/>
    <n v="0"/>
    <s v="5-10 Miles"/>
    <x v="2"/>
    <x v="36"/>
    <x v="0"/>
    <x v="0"/>
  </r>
  <r>
    <x v="495"/>
    <s v="Married"/>
    <x v="1"/>
    <x v="10"/>
    <x v="4"/>
    <x v="1"/>
    <x v="2"/>
    <x v="0"/>
    <n v="2"/>
    <s v="10+ Miles"/>
    <x v="2"/>
    <x v="16"/>
    <x v="1"/>
    <x v="0"/>
  </r>
  <r>
    <x v="496"/>
    <s v="Single"/>
    <x v="0"/>
    <x v="10"/>
    <x v="1"/>
    <x v="0"/>
    <x v="0"/>
    <x v="0"/>
    <n v="1"/>
    <s v="2-5 Miles"/>
    <x v="2"/>
    <x v="8"/>
    <x v="0"/>
    <x v="1"/>
  </r>
  <r>
    <x v="497"/>
    <s v="Single"/>
    <x v="0"/>
    <x v="3"/>
    <x v="0"/>
    <x v="4"/>
    <x v="2"/>
    <x v="0"/>
    <n v="0"/>
    <s v="2-5 Miles"/>
    <x v="2"/>
    <x v="17"/>
    <x v="0"/>
    <x v="1"/>
  </r>
  <r>
    <x v="498"/>
    <s v="Married"/>
    <x v="1"/>
    <x v="2"/>
    <x v="0"/>
    <x v="1"/>
    <x v="0"/>
    <x v="0"/>
    <n v="1"/>
    <s v="2-5 Miles"/>
    <x v="2"/>
    <x v="28"/>
    <x v="0"/>
    <x v="1"/>
  </r>
  <r>
    <x v="499"/>
    <s v="Single"/>
    <x v="0"/>
    <x v="0"/>
    <x v="3"/>
    <x v="2"/>
    <x v="0"/>
    <x v="1"/>
    <n v="2"/>
    <s v="1-2 Miles"/>
    <x v="2"/>
    <x v="23"/>
    <x v="0"/>
    <x v="1"/>
  </r>
  <r>
    <x v="500"/>
    <s v="Married"/>
    <x v="1"/>
    <x v="10"/>
    <x v="2"/>
    <x v="0"/>
    <x v="2"/>
    <x v="0"/>
    <n v="1"/>
    <s v="2-5 Miles"/>
    <x v="2"/>
    <x v="15"/>
    <x v="0"/>
    <x v="0"/>
  </r>
  <r>
    <x v="501"/>
    <s v="Married"/>
    <x v="0"/>
    <x v="14"/>
    <x v="3"/>
    <x v="4"/>
    <x v="0"/>
    <x v="0"/>
    <n v="0"/>
    <s v="0-1 Miles"/>
    <x v="2"/>
    <x v="17"/>
    <x v="0"/>
    <x v="0"/>
  </r>
  <r>
    <x v="502"/>
    <s v="Married"/>
    <x v="1"/>
    <x v="0"/>
    <x v="3"/>
    <x v="1"/>
    <x v="0"/>
    <x v="0"/>
    <n v="1"/>
    <s v="5-10 Miles"/>
    <x v="2"/>
    <x v="19"/>
    <x v="2"/>
    <x v="0"/>
  </r>
  <r>
    <x v="503"/>
    <s v="Married"/>
    <x v="0"/>
    <x v="12"/>
    <x v="0"/>
    <x v="0"/>
    <x v="4"/>
    <x v="0"/>
    <n v="4"/>
    <s v="2-5 Miles"/>
    <x v="2"/>
    <x v="20"/>
    <x v="0"/>
    <x v="1"/>
  </r>
  <r>
    <x v="504"/>
    <s v="Married"/>
    <x v="1"/>
    <x v="3"/>
    <x v="4"/>
    <x v="0"/>
    <x v="0"/>
    <x v="0"/>
    <n v="1"/>
    <s v="2-5 Miles"/>
    <x v="2"/>
    <x v="13"/>
    <x v="0"/>
    <x v="1"/>
  </r>
  <r>
    <x v="505"/>
    <s v="Married"/>
    <x v="1"/>
    <x v="11"/>
    <x v="5"/>
    <x v="1"/>
    <x v="2"/>
    <x v="0"/>
    <n v="4"/>
    <s v="0-1 Miles"/>
    <x v="2"/>
    <x v="8"/>
    <x v="0"/>
    <x v="0"/>
  </r>
  <r>
    <x v="506"/>
    <s v="Married"/>
    <x v="0"/>
    <x v="3"/>
    <x v="5"/>
    <x v="0"/>
    <x v="2"/>
    <x v="0"/>
    <n v="2"/>
    <s v="2-5 Miles"/>
    <x v="2"/>
    <x v="0"/>
    <x v="0"/>
    <x v="1"/>
  </r>
  <r>
    <x v="507"/>
    <s v="Married"/>
    <x v="0"/>
    <x v="0"/>
    <x v="0"/>
    <x v="1"/>
    <x v="1"/>
    <x v="0"/>
    <n v="1"/>
    <s v="1-2 Miles"/>
    <x v="2"/>
    <x v="36"/>
    <x v="0"/>
    <x v="1"/>
  </r>
  <r>
    <x v="508"/>
    <s v="Married"/>
    <x v="1"/>
    <x v="10"/>
    <x v="3"/>
    <x v="1"/>
    <x v="0"/>
    <x v="1"/>
    <n v="2"/>
    <s v="1-2 Miles"/>
    <x v="2"/>
    <x v="19"/>
    <x v="2"/>
    <x v="0"/>
  </r>
  <r>
    <x v="509"/>
    <s v="Married"/>
    <x v="1"/>
    <x v="2"/>
    <x v="1"/>
    <x v="0"/>
    <x v="2"/>
    <x v="0"/>
    <n v="1"/>
    <s v="2-5 Miles"/>
    <x v="2"/>
    <x v="28"/>
    <x v="0"/>
    <x v="1"/>
  </r>
  <r>
    <x v="510"/>
    <s v="Single"/>
    <x v="1"/>
    <x v="3"/>
    <x v="3"/>
    <x v="0"/>
    <x v="2"/>
    <x v="1"/>
    <n v="1"/>
    <s v="2-5 Miles"/>
    <x v="2"/>
    <x v="34"/>
    <x v="0"/>
    <x v="1"/>
  </r>
  <r>
    <x v="511"/>
    <s v="Single"/>
    <x v="1"/>
    <x v="2"/>
    <x v="5"/>
    <x v="0"/>
    <x v="4"/>
    <x v="0"/>
    <n v="0"/>
    <s v="5-10 Miles"/>
    <x v="2"/>
    <x v="29"/>
    <x v="1"/>
    <x v="1"/>
  </r>
  <r>
    <x v="512"/>
    <s v="Married"/>
    <x v="0"/>
    <x v="10"/>
    <x v="0"/>
    <x v="1"/>
    <x v="0"/>
    <x v="0"/>
    <n v="1"/>
    <s v="0-1 Miles"/>
    <x v="2"/>
    <x v="12"/>
    <x v="0"/>
    <x v="1"/>
  </r>
  <r>
    <x v="513"/>
    <s v="Single"/>
    <x v="0"/>
    <x v="10"/>
    <x v="5"/>
    <x v="4"/>
    <x v="4"/>
    <x v="0"/>
    <n v="2"/>
    <s v="10+ Miles"/>
    <x v="2"/>
    <x v="33"/>
    <x v="1"/>
    <x v="1"/>
  </r>
  <r>
    <x v="514"/>
    <s v="Single"/>
    <x v="1"/>
    <x v="0"/>
    <x v="3"/>
    <x v="0"/>
    <x v="2"/>
    <x v="1"/>
    <n v="1"/>
    <s v="2-5 Miles"/>
    <x v="2"/>
    <x v="12"/>
    <x v="0"/>
    <x v="0"/>
  </r>
  <r>
    <x v="515"/>
    <s v="Married"/>
    <x v="0"/>
    <x v="3"/>
    <x v="2"/>
    <x v="0"/>
    <x v="2"/>
    <x v="0"/>
    <n v="2"/>
    <s v="2-5 Miles"/>
    <x v="2"/>
    <x v="15"/>
    <x v="0"/>
    <x v="0"/>
  </r>
  <r>
    <x v="516"/>
    <s v="Married"/>
    <x v="0"/>
    <x v="10"/>
    <x v="4"/>
    <x v="2"/>
    <x v="2"/>
    <x v="0"/>
    <n v="2"/>
    <s v="5-10 Miles"/>
    <x v="2"/>
    <x v="38"/>
    <x v="0"/>
    <x v="0"/>
  </r>
  <r>
    <x v="517"/>
    <s v="Single"/>
    <x v="1"/>
    <x v="10"/>
    <x v="1"/>
    <x v="0"/>
    <x v="2"/>
    <x v="1"/>
    <n v="0"/>
    <s v="0-1 Miles"/>
    <x v="2"/>
    <x v="15"/>
    <x v="0"/>
    <x v="1"/>
  </r>
  <r>
    <x v="518"/>
    <s v="Married"/>
    <x v="0"/>
    <x v="2"/>
    <x v="3"/>
    <x v="0"/>
    <x v="4"/>
    <x v="0"/>
    <n v="1"/>
    <s v="1-2 Miles"/>
    <x v="2"/>
    <x v="17"/>
    <x v="0"/>
    <x v="1"/>
  </r>
  <r>
    <x v="519"/>
    <s v="Married"/>
    <x v="1"/>
    <x v="2"/>
    <x v="2"/>
    <x v="0"/>
    <x v="4"/>
    <x v="0"/>
    <n v="2"/>
    <s v="1-2 Miles"/>
    <x v="2"/>
    <x v="46"/>
    <x v="1"/>
    <x v="0"/>
  </r>
  <r>
    <x v="520"/>
    <s v="Single"/>
    <x v="1"/>
    <x v="11"/>
    <x v="0"/>
    <x v="1"/>
    <x v="2"/>
    <x v="1"/>
    <n v="3"/>
    <s v="1-2 Miles"/>
    <x v="2"/>
    <x v="20"/>
    <x v="0"/>
    <x v="0"/>
  </r>
  <r>
    <x v="521"/>
    <s v="Single"/>
    <x v="1"/>
    <x v="0"/>
    <x v="5"/>
    <x v="2"/>
    <x v="2"/>
    <x v="0"/>
    <n v="2"/>
    <s v="10+ Miles"/>
    <x v="2"/>
    <x v="24"/>
    <x v="1"/>
    <x v="1"/>
  </r>
  <r>
    <x v="522"/>
    <s v="Single"/>
    <x v="1"/>
    <x v="10"/>
    <x v="1"/>
    <x v="0"/>
    <x v="2"/>
    <x v="1"/>
    <n v="1"/>
    <s v="0-1 Miles"/>
    <x v="2"/>
    <x v="15"/>
    <x v="0"/>
    <x v="1"/>
  </r>
  <r>
    <x v="523"/>
    <s v="Married"/>
    <x v="1"/>
    <x v="2"/>
    <x v="1"/>
    <x v="1"/>
    <x v="2"/>
    <x v="1"/>
    <n v="2"/>
    <s v="0-1 Miles"/>
    <x v="2"/>
    <x v="38"/>
    <x v="0"/>
    <x v="1"/>
  </r>
  <r>
    <x v="524"/>
    <s v="Single"/>
    <x v="0"/>
    <x v="2"/>
    <x v="5"/>
    <x v="4"/>
    <x v="4"/>
    <x v="0"/>
    <n v="2"/>
    <s v="5-10 Miles"/>
    <x v="2"/>
    <x v="41"/>
    <x v="1"/>
    <x v="0"/>
  </r>
  <r>
    <x v="525"/>
    <s v="Single"/>
    <x v="1"/>
    <x v="10"/>
    <x v="2"/>
    <x v="0"/>
    <x v="4"/>
    <x v="0"/>
    <n v="3"/>
    <s v="10+ Miles"/>
    <x v="2"/>
    <x v="14"/>
    <x v="1"/>
    <x v="1"/>
  </r>
  <r>
    <x v="526"/>
    <s v="Married"/>
    <x v="0"/>
    <x v="15"/>
    <x v="0"/>
    <x v="0"/>
    <x v="4"/>
    <x v="0"/>
    <n v="2"/>
    <s v="1-2 Miles"/>
    <x v="2"/>
    <x v="20"/>
    <x v="0"/>
    <x v="0"/>
  </r>
  <r>
    <x v="527"/>
    <s v="Married"/>
    <x v="1"/>
    <x v="14"/>
    <x v="0"/>
    <x v="0"/>
    <x v="0"/>
    <x v="0"/>
    <n v="0"/>
    <s v="0-1 Miles"/>
    <x v="2"/>
    <x v="4"/>
    <x v="0"/>
    <x v="0"/>
  </r>
  <r>
    <x v="528"/>
    <s v="Single"/>
    <x v="0"/>
    <x v="1"/>
    <x v="3"/>
    <x v="1"/>
    <x v="0"/>
    <x v="0"/>
    <n v="1"/>
    <s v="5-10 Miles"/>
    <x v="2"/>
    <x v="26"/>
    <x v="2"/>
    <x v="0"/>
  </r>
  <r>
    <x v="529"/>
    <s v="Married"/>
    <x v="1"/>
    <x v="10"/>
    <x v="4"/>
    <x v="1"/>
    <x v="2"/>
    <x v="0"/>
    <n v="1"/>
    <s v="10+ Miles"/>
    <x v="2"/>
    <x v="42"/>
    <x v="1"/>
    <x v="1"/>
  </r>
  <r>
    <x v="530"/>
    <s v="Married"/>
    <x v="1"/>
    <x v="10"/>
    <x v="3"/>
    <x v="1"/>
    <x v="0"/>
    <x v="0"/>
    <n v="1"/>
    <s v="5-10 Miles"/>
    <x v="2"/>
    <x v="40"/>
    <x v="2"/>
    <x v="1"/>
  </r>
  <r>
    <x v="531"/>
    <s v="Single"/>
    <x v="1"/>
    <x v="1"/>
    <x v="3"/>
    <x v="3"/>
    <x v="1"/>
    <x v="0"/>
    <n v="2"/>
    <s v="5-10 Miles"/>
    <x v="2"/>
    <x v="26"/>
    <x v="2"/>
    <x v="0"/>
  </r>
  <r>
    <x v="532"/>
    <s v="Single"/>
    <x v="0"/>
    <x v="10"/>
    <x v="0"/>
    <x v="0"/>
    <x v="2"/>
    <x v="1"/>
    <n v="1"/>
    <s v="0-1 Miles"/>
    <x v="2"/>
    <x v="20"/>
    <x v="0"/>
    <x v="1"/>
  </r>
  <r>
    <x v="533"/>
    <s v="Married"/>
    <x v="1"/>
    <x v="10"/>
    <x v="1"/>
    <x v="0"/>
    <x v="4"/>
    <x v="0"/>
    <n v="2"/>
    <s v="10+ Miles"/>
    <x v="2"/>
    <x v="29"/>
    <x v="1"/>
    <x v="0"/>
  </r>
  <r>
    <x v="534"/>
    <s v="Married"/>
    <x v="1"/>
    <x v="0"/>
    <x v="5"/>
    <x v="2"/>
    <x v="2"/>
    <x v="0"/>
    <n v="2"/>
    <s v="10+ Miles"/>
    <x v="2"/>
    <x v="46"/>
    <x v="1"/>
    <x v="0"/>
  </r>
  <r>
    <x v="535"/>
    <s v="Married"/>
    <x v="1"/>
    <x v="14"/>
    <x v="1"/>
    <x v="0"/>
    <x v="0"/>
    <x v="0"/>
    <n v="3"/>
    <s v="10+ Miles"/>
    <x v="2"/>
    <x v="3"/>
    <x v="0"/>
    <x v="0"/>
  </r>
  <r>
    <x v="536"/>
    <s v="Single"/>
    <x v="0"/>
    <x v="2"/>
    <x v="1"/>
    <x v="0"/>
    <x v="0"/>
    <x v="0"/>
    <n v="1"/>
    <s v="0-1 Miles"/>
    <x v="2"/>
    <x v="3"/>
    <x v="0"/>
    <x v="1"/>
  </r>
  <r>
    <x v="537"/>
    <s v="Married"/>
    <x v="0"/>
    <x v="0"/>
    <x v="0"/>
    <x v="1"/>
    <x v="1"/>
    <x v="0"/>
    <n v="1"/>
    <s v="1-2 Miles"/>
    <x v="2"/>
    <x v="38"/>
    <x v="0"/>
    <x v="1"/>
  </r>
  <r>
    <x v="538"/>
    <s v="Married"/>
    <x v="0"/>
    <x v="2"/>
    <x v="5"/>
    <x v="0"/>
    <x v="4"/>
    <x v="0"/>
    <n v="0"/>
    <s v="0-1 Miles"/>
    <x v="2"/>
    <x v="0"/>
    <x v="0"/>
    <x v="0"/>
  </r>
  <r>
    <x v="539"/>
    <s v="Single"/>
    <x v="0"/>
    <x v="3"/>
    <x v="3"/>
    <x v="0"/>
    <x v="2"/>
    <x v="1"/>
    <n v="1"/>
    <s v="2-5 Miles"/>
    <x v="2"/>
    <x v="34"/>
    <x v="0"/>
    <x v="1"/>
  </r>
  <r>
    <x v="540"/>
    <s v="Single"/>
    <x v="0"/>
    <x v="3"/>
    <x v="1"/>
    <x v="4"/>
    <x v="4"/>
    <x v="0"/>
    <n v="2"/>
    <s v="1-2 Miles"/>
    <x v="2"/>
    <x v="31"/>
    <x v="0"/>
    <x v="0"/>
  </r>
  <r>
    <x v="541"/>
    <s v="Married"/>
    <x v="1"/>
    <x v="14"/>
    <x v="0"/>
    <x v="4"/>
    <x v="0"/>
    <x v="0"/>
    <n v="0"/>
    <s v="1-2 Miles"/>
    <x v="2"/>
    <x v="17"/>
    <x v="0"/>
    <x v="0"/>
  </r>
  <r>
    <x v="542"/>
    <s v="Married"/>
    <x v="1"/>
    <x v="0"/>
    <x v="3"/>
    <x v="2"/>
    <x v="0"/>
    <x v="0"/>
    <n v="2"/>
    <s v="5-10 Miles"/>
    <x v="2"/>
    <x v="19"/>
    <x v="2"/>
    <x v="0"/>
  </r>
  <r>
    <x v="543"/>
    <s v="Married"/>
    <x v="0"/>
    <x v="3"/>
    <x v="4"/>
    <x v="2"/>
    <x v="2"/>
    <x v="0"/>
    <n v="2"/>
    <s v="2-5 Miles"/>
    <x v="2"/>
    <x v="39"/>
    <x v="0"/>
    <x v="0"/>
  </r>
  <r>
    <x v="544"/>
    <s v="Single"/>
    <x v="1"/>
    <x v="7"/>
    <x v="4"/>
    <x v="0"/>
    <x v="4"/>
    <x v="1"/>
    <n v="4"/>
    <s v="1-2 Miles"/>
    <x v="2"/>
    <x v="8"/>
    <x v="0"/>
    <x v="0"/>
  </r>
  <r>
    <x v="545"/>
    <s v="Single"/>
    <x v="1"/>
    <x v="10"/>
    <x v="3"/>
    <x v="1"/>
    <x v="0"/>
    <x v="1"/>
    <n v="2"/>
    <s v="1-2 Miles"/>
    <x v="2"/>
    <x v="19"/>
    <x v="2"/>
    <x v="0"/>
  </r>
  <r>
    <x v="546"/>
    <s v="Married"/>
    <x v="1"/>
    <x v="10"/>
    <x v="5"/>
    <x v="0"/>
    <x v="2"/>
    <x v="0"/>
    <n v="2"/>
    <s v="2-5 Miles"/>
    <x v="2"/>
    <x v="1"/>
    <x v="0"/>
    <x v="1"/>
  </r>
  <r>
    <x v="547"/>
    <s v="Married"/>
    <x v="1"/>
    <x v="10"/>
    <x v="4"/>
    <x v="2"/>
    <x v="2"/>
    <x v="0"/>
    <n v="2"/>
    <s v="2-5 Miles"/>
    <x v="2"/>
    <x v="10"/>
    <x v="1"/>
    <x v="1"/>
  </r>
  <r>
    <x v="548"/>
    <s v="Single"/>
    <x v="0"/>
    <x v="2"/>
    <x v="5"/>
    <x v="4"/>
    <x v="0"/>
    <x v="1"/>
    <n v="0"/>
    <s v="0-1 Miles"/>
    <x v="2"/>
    <x v="28"/>
    <x v="0"/>
    <x v="0"/>
  </r>
  <r>
    <x v="549"/>
    <s v="Married"/>
    <x v="0"/>
    <x v="12"/>
    <x v="1"/>
    <x v="0"/>
    <x v="4"/>
    <x v="0"/>
    <n v="3"/>
    <s v="0-1 Miles"/>
    <x v="2"/>
    <x v="12"/>
    <x v="0"/>
    <x v="1"/>
  </r>
  <r>
    <x v="550"/>
    <s v="Single"/>
    <x v="0"/>
    <x v="3"/>
    <x v="3"/>
    <x v="0"/>
    <x v="2"/>
    <x v="1"/>
    <n v="1"/>
    <s v="0-1 Miles"/>
    <x v="1"/>
    <x v="0"/>
    <x v="0"/>
    <x v="1"/>
  </r>
  <r>
    <x v="551"/>
    <s v="Married"/>
    <x v="0"/>
    <x v="14"/>
    <x v="5"/>
    <x v="0"/>
    <x v="4"/>
    <x v="0"/>
    <n v="2"/>
    <s v="10+ Miles"/>
    <x v="2"/>
    <x v="18"/>
    <x v="1"/>
    <x v="0"/>
  </r>
  <r>
    <x v="552"/>
    <s v="Single"/>
    <x v="1"/>
    <x v="10"/>
    <x v="1"/>
    <x v="2"/>
    <x v="2"/>
    <x v="0"/>
    <n v="2"/>
    <s v="10+ Miles"/>
    <x v="2"/>
    <x v="9"/>
    <x v="0"/>
    <x v="1"/>
  </r>
  <r>
    <x v="553"/>
    <s v="Married"/>
    <x v="1"/>
    <x v="0"/>
    <x v="1"/>
    <x v="1"/>
    <x v="2"/>
    <x v="1"/>
    <n v="2"/>
    <s v="5-10 Miles"/>
    <x v="2"/>
    <x v="49"/>
    <x v="1"/>
    <x v="1"/>
  </r>
  <r>
    <x v="554"/>
    <s v="Married"/>
    <x v="0"/>
    <x v="10"/>
    <x v="4"/>
    <x v="4"/>
    <x v="2"/>
    <x v="0"/>
    <n v="0"/>
    <s v="2-5 Miles"/>
    <x v="2"/>
    <x v="8"/>
    <x v="0"/>
    <x v="1"/>
  </r>
  <r>
    <x v="555"/>
    <s v="Single"/>
    <x v="1"/>
    <x v="14"/>
    <x v="3"/>
    <x v="1"/>
    <x v="0"/>
    <x v="1"/>
    <n v="1"/>
    <s v="2-5 Miles"/>
    <x v="2"/>
    <x v="32"/>
    <x v="0"/>
    <x v="1"/>
  </r>
  <r>
    <x v="556"/>
    <s v="Married"/>
    <x v="1"/>
    <x v="2"/>
    <x v="5"/>
    <x v="0"/>
    <x v="4"/>
    <x v="0"/>
    <n v="0"/>
    <s v="1-2 Miles"/>
    <x v="2"/>
    <x v="0"/>
    <x v="0"/>
    <x v="0"/>
  </r>
  <r>
    <x v="557"/>
    <s v="Married"/>
    <x v="0"/>
    <x v="0"/>
    <x v="1"/>
    <x v="1"/>
    <x v="1"/>
    <x v="0"/>
    <n v="0"/>
    <s v="1-2 Miles"/>
    <x v="2"/>
    <x v="23"/>
    <x v="0"/>
    <x v="0"/>
  </r>
  <r>
    <x v="558"/>
    <s v="Married"/>
    <x v="0"/>
    <x v="14"/>
    <x v="1"/>
    <x v="0"/>
    <x v="0"/>
    <x v="0"/>
    <n v="2"/>
    <s v="0-1 Miles"/>
    <x v="2"/>
    <x v="3"/>
    <x v="0"/>
    <x v="0"/>
  </r>
  <r>
    <x v="559"/>
    <s v="Single"/>
    <x v="0"/>
    <x v="10"/>
    <x v="4"/>
    <x v="0"/>
    <x v="4"/>
    <x v="0"/>
    <n v="0"/>
    <s v="10+ Miles"/>
    <x v="2"/>
    <x v="7"/>
    <x v="1"/>
    <x v="0"/>
  </r>
  <r>
    <x v="560"/>
    <s v="Married"/>
    <x v="0"/>
    <x v="10"/>
    <x v="3"/>
    <x v="4"/>
    <x v="2"/>
    <x v="0"/>
    <n v="0"/>
    <s v="0-1 Miles"/>
    <x v="2"/>
    <x v="8"/>
    <x v="0"/>
    <x v="0"/>
  </r>
  <r>
    <x v="561"/>
    <s v="Married"/>
    <x v="0"/>
    <x v="6"/>
    <x v="4"/>
    <x v="3"/>
    <x v="1"/>
    <x v="1"/>
    <n v="0"/>
    <s v="0-1 Miles"/>
    <x v="2"/>
    <x v="28"/>
    <x v="0"/>
    <x v="0"/>
  </r>
  <r>
    <x v="562"/>
    <s v="Married"/>
    <x v="0"/>
    <x v="3"/>
    <x v="4"/>
    <x v="4"/>
    <x v="2"/>
    <x v="0"/>
    <n v="0"/>
    <s v="2-5 Miles"/>
    <x v="2"/>
    <x v="17"/>
    <x v="0"/>
    <x v="1"/>
  </r>
  <r>
    <x v="563"/>
    <s v="Single"/>
    <x v="0"/>
    <x v="1"/>
    <x v="3"/>
    <x v="1"/>
    <x v="0"/>
    <x v="0"/>
    <n v="1"/>
    <s v="5-10 Miles"/>
    <x v="2"/>
    <x v="26"/>
    <x v="2"/>
    <x v="0"/>
  </r>
  <r>
    <x v="564"/>
    <s v="Single"/>
    <x v="1"/>
    <x v="1"/>
    <x v="3"/>
    <x v="1"/>
    <x v="0"/>
    <x v="0"/>
    <n v="1"/>
    <s v="5-10 Miles"/>
    <x v="2"/>
    <x v="40"/>
    <x v="2"/>
    <x v="0"/>
  </r>
  <r>
    <x v="565"/>
    <s v="Married"/>
    <x v="1"/>
    <x v="0"/>
    <x v="1"/>
    <x v="1"/>
    <x v="2"/>
    <x v="1"/>
    <n v="2"/>
    <s v="5-10 Miles"/>
    <x v="2"/>
    <x v="9"/>
    <x v="0"/>
    <x v="1"/>
  </r>
  <r>
    <x v="566"/>
    <s v="Married"/>
    <x v="0"/>
    <x v="10"/>
    <x v="4"/>
    <x v="4"/>
    <x v="4"/>
    <x v="0"/>
    <n v="2"/>
    <s v="5-10 Miles"/>
    <x v="2"/>
    <x v="43"/>
    <x v="1"/>
    <x v="0"/>
  </r>
  <r>
    <x v="567"/>
    <s v="Married"/>
    <x v="1"/>
    <x v="0"/>
    <x v="0"/>
    <x v="1"/>
    <x v="1"/>
    <x v="0"/>
    <n v="1"/>
    <s v="1-2 Miles"/>
    <x v="2"/>
    <x v="28"/>
    <x v="0"/>
    <x v="1"/>
  </r>
  <r>
    <x v="568"/>
    <s v="Married"/>
    <x v="1"/>
    <x v="3"/>
    <x v="0"/>
    <x v="1"/>
    <x v="0"/>
    <x v="0"/>
    <n v="1"/>
    <s v="2-5 Miles"/>
    <x v="2"/>
    <x v="20"/>
    <x v="0"/>
    <x v="1"/>
  </r>
  <r>
    <x v="569"/>
    <s v="Single"/>
    <x v="1"/>
    <x v="14"/>
    <x v="1"/>
    <x v="4"/>
    <x v="4"/>
    <x v="0"/>
    <n v="2"/>
    <s v="10+ Miles"/>
    <x v="2"/>
    <x v="45"/>
    <x v="1"/>
    <x v="0"/>
  </r>
  <r>
    <x v="570"/>
    <s v="Married"/>
    <x v="1"/>
    <x v="3"/>
    <x v="1"/>
    <x v="3"/>
    <x v="0"/>
    <x v="0"/>
    <n v="2"/>
    <s v="5-10 Miles"/>
    <x v="2"/>
    <x v="31"/>
    <x v="0"/>
    <x v="0"/>
  </r>
  <r>
    <x v="571"/>
    <s v="Married"/>
    <x v="1"/>
    <x v="0"/>
    <x v="4"/>
    <x v="3"/>
    <x v="0"/>
    <x v="0"/>
    <n v="2"/>
    <s v="2-5 Miles"/>
    <x v="2"/>
    <x v="10"/>
    <x v="1"/>
    <x v="0"/>
  </r>
  <r>
    <x v="572"/>
    <s v="Single"/>
    <x v="1"/>
    <x v="1"/>
    <x v="3"/>
    <x v="2"/>
    <x v="0"/>
    <x v="0"/>
    <n v="2"/>
    <s v="5-10 Miles"/>
    <x v="2"/>
    <x v="25"/>
    <x v="2"/>
    <x v="0"/>
  </r>
  <r>
    <x v="573"/>
    <s v="Married"/>
    <x v="1"/>
    <x v="10"/>
    <x v="1"/>
    <x v="4"/>
    <x v="4"/>
    <x v="0"/>
    <n v="2"/>
    <s v="1-2 Miles"/>
    <x v="2"/>
    <x v="18"/>
    <x v="1"/>
    <x v="0"/>
  </r>
  <r>
    <x v="574"/>
    <s v="Single"/>
    <x v="0"/>
    <x v="2"/>
    <x v="3"/>
    <x v="0"/>
    <x v="4"/>
    <x v="0"/>
    <n v="1"/>
    <s v="1-2 Miles"/>
    <x v="2"/>
    <x v="17"/>
    <x v="0"/>
    <x v="1"/>
  </r>
  <r>
    <x v="575"/>
    <s v="Single"/>
    <x v="1"/>
    <x v="10"/>
    <x v="4"/>
    <x v="1"/>
    <x v="2"/>
    <x v="0"/>
    <n v="1"/>
    <s v="10+ Miles"/>
    <x v="2"/>
    <x v="16"/>
    <x v="1"/>
    <x v="0"/>
  </r>
  <r>
    <x v="576"/>
    <s v="Single"/>
    <x v="0"/>
    <x v="0"/>
    <x v="3"/>
    <x v="2"/>
    <x v="0"/>
    <x v="0"/>
    <n v="1"/>
    <s v="5-10 Miles"/>
    <x v="2"/>
    <x v="23"/>
    <x v="0"/>
    <x v="0"/>
  </r>
  <r>
    <x v="577"/>
    <s v="Married"/>
    <x v="1"/>
    <x v="7"/>
    <x v="0"/>
    <x v="0"/>
    <x v="4"/>
    <x v="0"/>
    <n v="4"/>
    <s v="0-1 Miles"/>
    <x v="2"/>
    <x v="13"/>
    <x v="0"/>
    <x v="0"/>
  </r>
  <r>
    <x v="578"/>
    <s v="Married"/>
    <x v="1"/>
    <x v="10"/>
    <x v="5"/>
    <x v="0"/>
    <x v="4"/>
    <x v="0"/>
    <n v="2"/>
    <s v="2-5 Miles"/>
    <x v="2"/>
    <x v="14"/>
    <x v="1"/>
    <x v="0"/>
  </r>
  <r>
    <x v="579"/>
    <s v="Single"/>
    <x v="0"/>
    <x v="0"/>
    <x v="1"/>
    <x v="1"/>
    <x v="1"/>
    <x v="1"/>
    <n v="2"/>
    <s v="0-1 Miles"/>
    <x v="2"/>
    <x v="21"/>
    <x v="0"/>
    <x v="0"/>
  </r>
  <r>
    <x v="580"/>
    <s v="Married"/>
    <x v="0"/>
    <x v="10"/>
    <x v="1"/>
    <x v="4"/>
    <x v="4"/>
    <x v="0"/>
    <n v="2"/>
    <s v="10+ Miles"/>
    <x v="2"/>
    <x v="45"/>
    <x v="1"/>
    <x v="0"/>
  </r>
  <r>
    <x v="581"/>
    <s v="Married"/>
    <x v="1"/>
    <x v="0"/>
    <x v="3"/>
    <x v="1"/>
    <x v="0"/>
    <x v="0"/>
    <n v="1"/>
    <s v="5-10 Miles"/>
    <x v="2"/>
    <x v="26"/>
    <x v="2"/>
    <x v="0"/>
  </r>
  <r>
    <x v="582"/>
    <s v="Married"/>
    <x v="1"/>
    <x v="2"/>
    <x v="5"/>
    <x v="4"/>
    <x v="0"/>
    <x v="0"/>
    <n v="0"/>
    <s v="1-2 Miles"/>
    <x v="2"/>
    <x v="15"/>
    <x v="0"/>
    <x v="0"/>
  </r>
  <r>
    <x v="583"/>
    <s v="Married"/>
    <x v="1"/>
    <x v="10"/>
    <x v="1"/>
    <x v="0"/>
    <x v="4"/>
    <x v="0"/>
    <n v="2"/>
    <s v="10+ Miles"/>
    <x v="2"/>
    <x v="29"/>
    <x v="1"/>
    <x v="0"/>
  </r>
  <r>
    <x v="584"/>
    <s v="Single"/>
    <x v="1"/>
    <x v="3"/>
    <x v="4"/>
    <x v="0"/>
    <x v="0"/>
    <x v="1"/>
    <n v="1"/>
    <s v="0-1 Miles"/>
    <x v="2"/>
    <x v="34"/>
    <x v="0"/>
    <x v="1"/>
  </r>
  <r>
    <x v="585"/>
    <s v="Single"/>
    <x v="1"/>
    <x v="7"/>
    <x v="4"/>
    <x v="0"/>
    <x v="4"/>
    <x v="1"/>
    <n v="3"/>
    <s v="0-1 Miles"/>
    <x v="2"/>
    <x v="32"/>
    <x v="0"/>
    <x v="1"/>
  </r>
  <r>
    <x v="586"/>
    <s v="Married"/>
    <x v="1"/>
    <x v="10"/>
    <x v="4"/>
    <x v="2"/>
    <x v="2"/>
    <x v="1"/>
    <n v="2"/>
    <s v="1-2 Miles"/>
    <x v="2"/>
    <x v="36"/>
    <x v="0"/>
    <x v="0"/>
  </r>
  <r>
    <x v="587"/>
    <s v="Married"/>
    <x v="0"/>
    <x v="12"/>
    <x v="3"/>
    <x v="4"/>
    <x v="4"/>
    <x v="0"/>
    <n v="3"/>
    <s v="1-2 Miles"/>
    <x v="2"/>
    <x v="8"/>
    <x v="0"/>
    <x v="0"/>
  </r>
  <r>
    <x v="588"/>
    <s v="Married"/>
    <x v="0"/>
    <x v="8"/>
    <x v="4"/>
    <x v="2"/>
    <x v="2"/>
    <x v="0"/>
    <n v="1"/>
    <s v="10+ Miles"/>
    <x v="2"/>
    <x v="36"/>
    <x v="0"/>
    <x v="1"/>
  </r>
  <r>
    <x v="589"/>
    <s v="Single"/>
    <x v="1"/>
    <x v="10"/>
    <x v="4"/>
    <x v="0"/>
    <x v="4"/>
    <x v="0"/>
    <n v="0"/>
    <s v="10+ Miles"/>
    <x v="2"/>
    <x v="42"/>
    <x v="1"/>
    <x v="0"/>
  </r>
  <r>
    <x v="590"/>
    <s v="Married"/>
    <x v="0"/>
    <x v="10"/>
    <x v="0"/>
    <x v="4"/>
    <x v="2"/>
    <x v="1"/>
    <n v="0"/>
    <s v="0-1 Miles"/>
    <x v="2"/>
    <x v="11"/>
    <x v="0"/>
    <x v="1"/>
  </r>
  <r>
    <x v="591"/>
    <s v="Married"/>
    <x v="1"/>
    <x v="0"/>
    <x v="5"/>
    <x v="2"/>
    <x v="2"/>
    <x v="1"/>
    <n v="2"/>
    <s v="10+ Miles"/>
    <x v="2"/>
    <x v="33"/>
    <x v="1"/>
    <x v="1"/>
  </r>
  <r>
    <x v="592"/>
    <s v="Single"/>
    <x v="0"/>
    <x v="2"/>
    <x v="2"/>
    <x v="1"/>
    <x v="2"/>
    <x v="0"/>
    <n v="2"/>
    <s v="5-10 Miles"/>
    <x v="2"/>
    <x v="20"/>
    <x v="0"/>
    <x v="0"/>
  </r>
  <r>
    <x v="593"/>
    <s v="Single"/>
    <x v="0"/>
    <x v="3"/>
    <x v="4"/>
    <x v="1"/>
    <x v="2"/>
    <x v="0"/>
    <n v="0"/>
    <s v="5-10 Miles"/>
    <x v="2"/>
    <x v="38"/>
    <x v="0"/>
    <x v="1"/>
  </r>
  <r>
    <x v="594"/>
    <s v="Married"/>
    <x v="1"/>
    <x v="2"/>
    <x v="5"/>
    <x v="4"/>
    <x v="4"/>
    <x v="0"/>
    <n v="2"/>
    <s v="5-10 Miles"/>
    <x v="2"/>
    <x v="43"/>
    <x v="1"/>
    <x v="0"/>
  </r>
  <r>
    <x v="595"/>
    <s v="Single"/>
    <x v="0"/>
    <x v="6"/>
    <x v="1"/>
    <x v="2"/>
    <x v="0"/>
    <x v="0"/>
    <n v="2"/>
    <s v="2-5 Miles"/>
    <x v="2"/>
    <x v="44"/>
    <x v="1"/>
    <x v="0"/>
  </r>
  <r>
    <x v="596"/>
    <s v="Married"/>
    <x v="0"/>
    <x v="8"/>
    <x v="5"/>
    <x v="1"/>
    <x v="2"/>
    <x v="0"/>
    <n v="1"/>
    <s v="1-2 Miles"/>
    <x v="2"/>
    <x v="12"/>
    <x v="0"/>
    <x v="0"/>
  </r>
  <r>
    <x v="597"/>
    <s v="Single"/>
    <x v="1"/>
    <x v="0"/>
    <x v="4"/>
    <x v="2"/>
    <x v="2"/>
    <x v="1"/>
    <n v="1"/>
    <s v="2-5 Miles"/>
    <x v="2"/>
    <x v="7"/>
    <x v="1"/>
    <x v="1"/>
  </r>
  <r>
    <x v="598"/>
    <s v="Married"/>
    <x v="1"/>
    <x v="12"/>
    <x v="0"/>
    <x v="4"/>
    <x v="4"/>
    <x v="0"/>
    <n v="4"/>
    <s v="0-1 Miles"/>
    <x v="2"/>
    <x v="3"/>
    <x v="0"/>
    <x v="0"/>
  </r>
  <r>
    <x v="599"/>
    <s v="Married"/>
    <x v="0"/>
    <x v="10"/>
    <x v="4"/>
    <x v="1"/>
    <x v="2"/>
    <x v="0"/>
    <n v="1"/>
    <s v="2-5 Miles"/>
    <x v="2"/>
    <x v="42"/>
    <x v="1"/>
    <x v="1"/>
  </r>
  <r>
    <x v="600"/>
    <s v="Married"/>
    <x v="1"/>
    <x v="1"/>
    <x v="4"/>
    <x v="2"/>
    <x v="0"/>
    <x v="1"/>
    <n v="2"/>
    <s v="0-1 Miles"/>
    <x v="2"/>
    <x v="38"/>
    <x v="0"/>
    <x v="0"/>
  </r>
  <r>
    <x v="601"/>
    <s v="Single"/>
    <x v="1"/>
    <x v="2"/>
    <x v="5"/>
    <x v="1"/>
    <x v="2"/>
    <x v="1"/>
    <n v="2"/>
    <s v="0-1 Miles"/>
    <x v="2"/>
    <x v="1"/>
    <x v="0"/>
    <x v="0"/>
  </r>
  <r>
    <x v="602"/>
    <s v="Single"/>
    <x v="1"/>
    <x v="10"/>
    <x v="4"/>
    <x v="3"/>
    <x v="0"/>
    <x v="0"/>
    <n v="2"/>
    <s v="5-10 Miles"/>
    <x v="2"/>
    <x v="31"/>
    <x v="0"/>
    <x v="1"/>
  </r>
  <r>
    <x v="603"/>
    <s v="Married"/>
    <x v="1"/>
    <x v="10"/>
    <x v="0"/>
    <x v="4"/>
    <x v="2"/>
    <x v="0"/>
    <n v="0"/>
    <s v="0-1 Miles"/>
    <x v="2"/>
    <x v="11"/>
    <x v="0"/>
    <x v="1"/>
  </r>
  <r>
    <x v="604"/>
    <s v="Married"/>
    <x v="1"/>
    <x v="0"/>
    <x v="3"/>
    <x v="2"/>
    <x v="0"/>
    <x v="0"/>
    <n v="2"/>
    <s v="5-10 Miles"/>
    <x v="2"/>
    <x v="40"/>
    <x v="2"/>
    <x v="0"/>
  </r>
  <r>
    <x v="605"/>
    <s v="Single"/>
    <x v="1"/>
    <x v="3"/>
    <x v="1"/>
    <x v="2"/>
    <x v="2"/>
    <x v="0"/>
    <n v="0"/>
    <s v="5-10 Miles"/>
    <x v="2"/>
    <x v="31"/>
    <x v="0"/>
    <x v="1"/>
  </r>
  <r>
    <x v="606"/>
    <s v="Single"/>
    <x v="1"/>
    <x v="0"/>
    <x v="4"/>
    <x v="0"/>
    <x v="0"/>
    <x v="0"/>
    <n v="0"/>
    <s v="2-5 Miles"/>
    <x v="2"/>
    <x v="4"/>
    <x v="0"/>
    <x v="0"/>
  </r>
  <r>
    <x v="607"/>
    <s v="Single"/>
    <x v="0"/>
    <x v="3"/>
    <x v="2"/>
    <x v="4"/>
    <x v="2"/>
    <x v="0"/>
    <n v="3"/>
    <s v="10+ Miles"/>
    <x v="2"/>
    <x v="30"/>
    <x v="0"/>
    <x v="1"/>
  </r>
  <r>
    <x v="608"/>
    <s v="Married"/>
    <x v="1"/>
    <x v="10"/>
    <x v="1"/>
    <x v="3"/>
    <x v="0"/>
    <x v="0"/>
    <n v="2"/>
    <s v="5-10 Miles"/>
    <x v="2"/>
    <x v="31"/>
    <x v="0"/>
    <x v="1"/>
  </r>
  <r>
    <x v="609"/>
    <s v="Married"/>
    <x v="1"/>
    <x v="3"/>
    <x v="3"/>
    <x v="0"/>
    <x v="2"/>
    <x v="1"/>
    <n v="1"/>
    <s v="0-1 Miles"/>
    <x v="2"/>
    <x v="1"/>
    <x v="0"/>
    <x v="0"/>
  </r>
  <r>
    <x v="610"/>
    <s v="Married"/>
    <x v="1"/>
    <x v="10"/>
    <x v="0"/>
    <x v="1"/>
    <x v="0"/>
    <x v="0"/>
    <n v="1"/>
    <s v="2-5 Miles"/>
    <x v="2"/>
    <x v="20"/>
    <x v="0"/>
    <x v="0"/>
  </r>
  <r>
    <x v="611"/>
    <s v="Married"/>
    <x v="0"/>
    <x v="2"/>
    <x v="3"/>
    <x v="0"/>
    <x v="4"/>
    <x v="0"/>
    <n v="1"/>
    <s v="1-2 Miles"/>
    <x v="2"/>
    <x v="17"/>
    <x v="0"/>
    <x v="1"/>
  </r>
  <r>
    <x v="612"/>
    <s v="Single"/>
    <x v="0"/>
    <x v="1"/>
    <x v="3"/>
    <x v="3"/>
    <x v="1"/>
    <x v="0"/>
    <n v="2"/>
    <s v="5-10 Miles"/>
    <x v="2"/>
    <x v="40"/>
    <x v="2"/>
    <x v="0"/>
  </r>
  <r>
    <x v="613"/>
    <s v="Single"/>
    <x v="1"/>
    <x v="15"/>
    <x v="0"/>
    <x v="1"/>
    <x v="2"/>
    <x v="0"/>
    <n v="4"/>
    <s v="5-10 Miles"/>
    <x v="2"/>
    <x v="12"/>
    <x v="0"/>
    <x v="1"/>
  </r>
  <r>
    <x v="614"/>
    <s v="Married"/>
    <x v="0"/>
    <x v="11"/>
    <x v="1"/>
    <x v="1"/>
    <x v="2"/>
    <x v="0"/>
    <n v="4"/>
    <s v="1-2 Miles"/>
    <x v="2"/>
    <x v="12"/>
    <x v="0"/>
    <x v="0"/>
  </r>
  <r>
    <x v="615"/>
    <s v="Single"/>
    <x v="0"/>
    <x v="10"/>
    <x v="5"/>
    <x v="4"/>
    <x v="0"/>
    <x v="1"/>
    <n v="0"/>
    <s v="0-1 Miles"/>
    <x v="2"/>
    <x v="15"/>
    <x v="0"/>
    <x v="1"/>
  </r>
  <r>
    <x v="616"/>
    <s v="Single"/>
    <x v="0"/>
    <x v="2"/>
    <x v="5"/>
    <x v="4"/>
    <x v="0"/>
    <x v="0"/>
    <n v="0"/>
    <s v="1-2 Miles"/>
    <x v="2"/>
    <x v="15"/>
    <x v="0"/>
    <x v="0"/>
  </r>
  <r>
    <x v="617"/>
    <s v="Married"/>
    <x v="1"/>
    <x v="0"/>
    <x v="5"/>
    <x v="2"/>
    <x v="0"/>
    <x v="0"/>
    <n v="2"/>
    <s v="2-5 Miles"/>
    <x v="2"/>
    <x v="20"/>
    <x v="0"/>
    <x v="1"/>
  </r>
  <r>
    <x v="618"/>
    <s v="Single"/>
    <x v="0"/>
    <x v="6"/>
    <x v="1"/>
    <x v="3"/>
    <x v="1"/>
    <x v="1"/>
    <n v="2"/>
    <s v="0-1 Miles"/>
    <x v="2"/>
    <x v="38"/>
    <x v="0"/>
    <x v="0"/>
  </r>
  <r>
    <x v="619"/>
    <s v="Single"/>
    <x v="0"/>
    <x v="0"/>
    <x v="3"/>
    <x v="2"/>
    <x v="0"/>
    <x v="0"/>
    <n v="1"/>
    <s v="5-10 Miles"/>
    <x v="2"/>
    <x v="25"/>
    <x v="2"/>
    <x v="0"/>
  </r>
  <r>
    <x v="620"/>
    <s v="Married"/>
    <x v="0"/>
    <x v="11"/>
    <x v="5"/>
    <x v="1"/>
    <x v="2"/>
    <x v="0"/>
    <n v="4"/>
    <s v="2-5 Miles"/>
    <x v="2"/>
    <x v="3"/>
    <x v="0"/>
    <x v="1"/>
  </r>
  <r>
    <x v="621"/>
    <s v="Married"/>
    <x v="1"/>
    <x v="3"/>
    <x v="5"/>
    <x v="0"/>
    <x v="4"/>
    <x v="0"/>
    <n v="1"/>
    <s v="1-2 Miles"/>
    <x v="2"/>
    <x v="7"/>
    <x v="1"/>
    <x v="0"/>
  </r>
  <r>
    <x v="622"/>
    <s v="Married"/>
    <x v="1"/>
    <x v="10"/>
    <x v="2"/>
    <x v="0"/>
    <x v="2"/>
    <x v="0"/>
    <n v="1"/>
    <s v="2-5 Miles"/>
    <x v="2"/>
    <x v="15"/>
    <x v="0"/>
    <x v="0"/>
  </r>
  <r>
    <x v="623"/>
    <s v="Married"/>
    <x v="0"/>
    <x v="3"/>
    <x v="5"/>
    <x v="1"/>
    <x v="2"/>
    <x v="0"/>
    <n v="1"/>
    <s v="1-2 Miles"/>
    <x v="2"/>
    <x v="10"/>
    <x v="1"/>
    <x v="0"/>
  </r>
  <r>
    <x v="624"/>
    <s v="Single"/>
    <x v="0"/>
    <x v="3"/>
    <x v="3"/>
    <x v="1"/>
    <x v="0"/>
    <x v="1"/>
    <n v="2"/>
    <s v="0-1 Miles"/>
    <x v="2"/>
    <x v="40"/>
    <x v="2"/>
    <x v="1"/>
  </r>
  <r>
    <x v="625"/>
    <s v="Married"/>
    <x v="1"/>
    <x v="10"/>
    <x v="1"/>
    <x v="4"/>
    <x v="4"/>
    <x v="0"/>
    <n v="2"/>
    <s v="1-2 Miles"/>
    <x v="2"/>
    <x v="41"/>
    <x v="1"/>
    <x v="0"/>
  </r>
  <r>
    <x v="626"/>
    <s v="Married"/>
    <x v="0"/>
    <x v="10"/>
    <x v="3"/>
    <x v="1"/>
    <x v="0"/>
    <x v="0"/>
    <n v="2"/>
    <s v="5-10 Miles"/>
    <x v="2"/>
    <x v="19"/>
    <x v="2"/>
    <x v="0"/>
  </r>
  <r>
    <x v="627"/>
    <s v="Married"/>
    <x v="0"/>
    <x v="10"/>
    <x v="1"/>
    <x v="4"/>
    <x v="4"/>
    <x v="0"/>
    <n v="2"/>
    <s v="1-2 Miles"/>
    <x v="2"/>
    <x v="41"/>
    <x v="1"/>
    <x v="0"/>
  </r>
  <r>
    <x v="628"/>
    <s v="Single"/>
    <x v="1"/>
    <x v="2"/>
    <x v="1"/>
    <x v="1"/>
    <x v="2"/>
    <x v="1"/>
    <n v="1"/>
    <s v="1-2 Miles"/>
    <x v="2"/>
    <x v="36"/>
    <x v="0"/>
    <x v="1"/>
  </r>
  <r>
    <x v="629"/>
    <s v="Married"/>
    <x v="0"/>
    <x v="14"/>
    <x v="0"/>
    <x v="4"/>
    <x v="0"/>
    <x v="0"/>
    <n v="0"/>
    <s v="0-1 Miles"/>
    <x v="2"/>
    <x v="11"/>
    <x v="0"/>
    <x v="0"/>
  </r>
  <r>
    <x v="630"/>
    <s v="Married"/>
    <x v="1"/>
    <x v="0"/>
    <x v="3"/>
    <x v="2"/>
    <x v="0"/>
    <x v="1"/>
    <n v="2"/>
    <s v="1-2 Miles"/>
    <x v="2"/>
    <x v="25"/>
    <x v="2"/>
    <x v="0"/>
  </r>
  <r>
    <x v="631"/>
    <s v="Single"/>
    <x v="1"/>
    <x v="3"/>
    <x v="2"/>
    <x v="1"/>
    <x v="2"/>
    <x v="0"/>
    <n v="3"/>
    <s v="2-5 Miles"/>
    <x v="2"/>
    <x v="20"/>
    <x v="0"/>
    <x v="0"/>
  </r>
  <r>
    <x v="632"/>
    <s v="Single"/>
    <x v="0"/>
    <x v="2"/>
    <x v="5"/>
    <x v="4"/>
    <x v="0"/>
    <x v="0"/>
    <n v="0"/>
    <s v="1-2 Miles"/>
    <x v="2"/>
    <x v="28"/>
    <x v="0"/>
    <x v="0"/>
  </r>
  <r>
    <x v="633"/>
    <s v="Married"/>
    <x v="0"/>
    <x v="12"/>
    <x v="0"/>
    <x v="0"/>
    <x v="4"/>
    <x v="0"/>
    <n v="2"/>
    <s v="0-1 Miles"/>
    <x v="2"/>
    <x v="12"/>
    <x v="0"/>
    <x v="1"/>
  </r>
  <r>
    <x v="634"/>
    <s v="Married"/>
    <x v="1"/>
    <x v="10"/>
    <x v="1"/>
    <x v="0"/>
    <x v="4"/>
    <x v="1"/>
    <n v="2"/>
    <s v="1-2 Miles"/>
    <x v="2"/>
    <x v="29"/>
    <x v="1"/>
    <x v="0"/>
  </r>
  <r>
    <x v="635"/>
    <s v="Single"/>
    <x v="0"/>
    <x v="1"/>
    <x v="4"/>
    <x v="2"/>
    <x v="0"/>
    <x v="1"/>
    <n v="2"/>
    <s v="0-1 Miles"/>
    <x v="2"/>
    <x v="38"/>
    <x v="0"/>
    <x v="0"/>
  </r>
  <r>
    <x v="636"/>
    <s v="Single"/>
    <x v="0"/>
    <x v="7"/>
    <x v="5"/>
    <x v="1"/>
    <x v="2"/>
    <x v="0"/>
    <n v="3"/>
    <s v="5-10 Miles"/>
    <x v="2"/>
    <x v="1"/>
    <x v="0"/>
    <x v="1"/>
  </r>
  <r>
    <x v="637"/>
    <s v="Single"/>
    <x v="1"/>
    <x v="0"/>
    <x v="3"/>
    <x v="2"/>
    <x v="0"/>
    <x v="1"/>
    <n v="2"/>
    <s v="1-2 Miles"/>
    <x v="2"/>
    <x v="25"/>
    <x v="2"/>
    <x v="0"/>
  </r>
  <r>
    <x v="638"/>
    <s v="Single"/>
    <x v="1"/>
    <x v="3"/>
    <x v="3"/>
    <x v="4"/>
    <x v="4"/>
    <x v="0"/>
    <n v="2"/>
    <s v="5-10 Miles"/>
    <x v="2"/>
    <x v="50"/>
    <x v="1"/>
    <x v="1"/>
  </r>
  <r>
    <x v="639"/>
    <s v="Married"/>
    <x v="1"/>
    <x v="11"/>
    <x v="4"/>
    <x v="4"/>
    <x v="4"/>
    <x v="0"/>
    <n v="3"/>
    <s v="1-2 Miles"/>
    <x v="2"/>
    <x v="27"/>
    <x v="1"/>
    <x v="0"/>
  </r>
  <r>
    <x v="640"/>
    <s v="Married"/>
    <x v="0"/>
    <x v="10"/>
    <x v="4"/>
    <x v="1"/>
    <x v="2"/>
    <x v="0"/>
    <n v="2"/>
    <s v="2-5 Miles"/>
    <x v="2"/>
    <x v="16"/>
    <x v="1"/>
    <x v="1"/>
  </r>
  <r>
    <x v="641"/>
    <s v="Married"/>
    <x v="1"/>
    <x v="14"/>
    <x v="5"/>
    <x v="0"/>
    <x v="4"/>
    <x v="0"/>
    <n v="2"/>
    <s v="10+ Miles"/>
    <x v="2"/>
    <x v="46"/>
    <x v="1"/>
    <x v="0"/>
  </r>
  <r>
    <x v="642"/>
    <s v="Married"/>
    <x v="0"/>
    <x v="3"/>
    <x v="1"/>
    <x v="1"/>
    <x v="2"/>
    <x v="0"/>
    <n v="2"/>
    <s v="5-10 Miles"/>
    <x v="2"/>
    <x v="5"/>
    <x v="0"/>
    <x v="1"/>
  </r>
  <r>
    <x v="643"/>
    <s v="Married"/>
    <x v="0"/>
    <x v="3"/>
    <x v="1"/>
    <x v="4"/>
    <x v="2"/>
    <x v="0"/>
    <n v="0"/>
    <s v="2-5 Miles"/>
    <x v="2"/>
    <x v="11"/>
    <x v="0"/>
    <x v="1"/>
  </r>
  <r>
    <x v="644"/>
    <s v="Married"/>
    <x v="0"/>
    <x v="10"/>
    <x v="2"/>
    <x v="0"/>
    <x v="0"/>
    <x v="0"/>
    <n v="3"/>
    <s v="10+ Miles"/>
    <x v="2"/>
    <x v="3"/>
    <x v="0"/>
    <x v="0"/>
  </r>
  <r>
    <x v="645"/>
    <s v="Single"/>
    <x v="0"/>
    <x v="10"/>
    <x v="3"/>
    <x v="4"/>
    <x v="0"/>
    <x v="0"/>
    <n v="0"/>
    <s v="0-1 Miles"/>
    <x v="2"/>
    <x v="32"/>
    <x v="0"/>
    <x v="0"/>
  </r>
  <r>
    <x v="646"/>
    <s v="Single"/>
    <x v="0"/>
    <x v="10"/>
    <x v="5"/>
    <x v="4"/>
    <x v="0"/>
    <x v="1"/>
    <n v="0"/>
    <s v="1-2 Miles"/>
    <x v="2"/>
    <x v="15"/>
    <x v="0"/>
    <x v="0"/>
  </r>
  <r>
    <x v="647"/>
    <s v="Single"/>
    <x v="1"/>
    <x v="0"/>
    <x v="3"/>
    <x v="2"/>
    <x v="0"/>
    <x v="0"/>
    <n v="2"/>
    <s v="5-10 Miles"/>
    <x v="2"/>
    <x v="23"/>
    <x v="0"/>
    <x v="0"/>
  </r>
  <r>
    <x v="648"/>
    <s v="Single"/>
    <x v="0"/>
    <x v="3"/>
    <x v="4"/>
    <x v="0"/>
    <x v="4"/>
    <x v="1"/>
    <n v="1"/>
    <s v="2-5 Miles"/>
    <x v="2"/>
    <x v="7"/>
    <x v="1"/>
    <x v="1"/>
  </r>
  <r>
    <x v="649"/>
    <s v="Single"/>
    <x v="0"/>
    <x v="3"/>
    <x v="3"/>
    <x v="0"/>
    <x v="2"/>
    <x v="1"/>
    <n v="1"/>
    <s v="2-5 Miles"/>
    <x v="2"/>
    <x v="13"/>
    <x v="0"/>
    <x v="1"/>
  </r>
  <r>
    <x v="650"/>
    <s v="Single"/>
    <x v="0"/>
    <x v="3"/>
    <x v="2"/>
    <x v="4"/>
    <x v="4"/>
    <x v="0"/>
    <n v="2"/>
    <s v="10+ Miles"/>
    <x v="2"/>
    <x v="41"/>
    <x v="1"/>
    <x v="1"/>
  </r>
  <r>
    <x v="651"/>
    <s v="Single"/>
    <x v="1"/>
    <x v="10"/>
    <x v="3"/>
    <x v="1"/>
    <x v="2"/>
    <x v="1"/>
    <n v="2"/>
    <s v="1-2 Miles"/>
    <x v="2"/>
    <x v="21"/>
    <x v="0"/>
    <x v="1"/>
  </r>
  <r>
    <x v="652"/>
    <s v="Married"/>
    <x v="1"/>
    <x v="3"/>
    <x v="2"/>
    <x v="1"/>
    <x v="2"/>
    <x v="1"/>
    <n v="3"/>
    <s v="5-10 Miles"/>
    <x v="2"/>
    <x v="12"/>
    <x v="0"/>
    <x v="0"/>
  </r>
  <r>
    <x v="653"/>
    <s v="Single"/>
    <x v="1"/>
    <x v="1"/>
    <x v="3"/>
    <x v="2"/>
    <x v="0"/>
    <x v="1"/>
    <n v="2"/>
    <s v="1-2 Miles"/>
    <x v="2"/>
    <x v="23"/>
    <x v="0"/>
    <x v="1"/>
  </r>
  <r>
    <x v="654"/>
    <s v="Single"/>
    <x v="1"/>
    <x v="0"/>
    <x v="3"/>
    <x v="2"/>
    <x v="0"/>
    <x v="1"/>
    <n v="2"/>
    <s v="1-2 Miles"/>
    <x v="2"/>
    <x v="23"/>
    <x v="0"/>
    <x v="1"/>
  </r>
  <r>
    <x v="655"/>
    <s v="Married"/>
    <x v="0"/>
    <x v="0"/>
    <x v="1"/>
    <x v="1"/>
    <x v="1"/>
    <x v="0"/>
    <n v="1"/>
    <s v="0-1 Miles"/>
    <x v="2"/>
    <x v="23"/>
    <x v="0"/>
    <x v="0"/>
  </r>
  <r>
    <x v="656"/>
    <s v="Married"/>
    <x v="1"/>
    <x v="10"/>
    <x v="4"/>
    <x v="2"/>
    <x v="2"/>
    <x v="1"/>
    <n v="2"/>
    <s v="5-10 Miles"/>
    <x v="2"/>
    <x v="5"/>
    <x v="0"/>
    <x v="0"/>
  </r>
  <r>
    <x v="657"/>
    <s v="Married"/>
    <x v="1"/>
    <x v="3"/>
    <x v="0"/>
    <x v="1"/>
    <x v="0"/>
    <x v="0"/>
    <n v="1"/>
    <s v="0-1 Miles"/>
    <x v="2"/>
    <x v="20"/>
    <x v="0"/>
    <x v="0"/>
  </r>
  <r>
    <x v="658"/>
    <s v="Single"/>
    <x v="1"/>
    <x v="14"/>
    <x v="4"/>
    <x v="0"/>
    <x v="0"/>
    <x v="0"/>
    <n v="1"/>
    <s v="2-5 Miles"/>
    <x v="2"/>
    <x v="13"/>
    <x v="0"/>
    <x v="1"/>
  </r>
  <r>
    <x v="659"/>
    <s v="Single"/>
    <x v="0"/>
    <x v="10"/>
    <x v="5"/>
    <x v="0"/>
    <x v="4"/>
    <x v="0"/>
    <n v="2"/>
    <s v="10+ Miles"/>
    <x v="2"/>
    <x v="18"/>
    <x v="1"/>
    <x v="0"/>
  </r>
  <r>
    <x v="660"/>
    <s v="Married"/>
    <x v="0"/>
    <x v="10"/>
    <x v="0"/>
    <x v="4"/>
    <x v="2"/>
    <x v="0"/>
    <n v="0"/>
    <s v="2-5 Miles"/>
    <x v="2"/>
    <x v="4"/>
    <x v="0"/>
    <x v="1"/>
  </r>
  <r>
    <x v="661"/>
    <s v="Single"/>
    <x v="1"/>
    <x v="0"/>
    <x v="3"/>
    <x v="2"/>
    <x v="0"/>
    <x v="1"/>
    <n v="2"/>
    <s v="0-1 Miles"/>
    <x v="2"/>
    <x v="26"/>
    <x v="2"/>
    <x v="1"/>
  </r>
  <r>
    <x v="662"/>
    <s v="Single"/>
    <x v="0"/>
    <x v="11"/>
    <x v="0"/>
    <x v="1"/>
    <x v="2"/>
    <x v="1"/>
    <n v="3"/>
    <s v="1-2 Miles"/>
    <x v="2"/>
    <x v="20"/>
    <x v="0"/>
    <x v="0"/>
  </r>
  <r>
    <x v="663"/>
    <s v="Married"/>
    <x v="0"/>
    <x v="3"/>
    <x v="2"/>
    <x v="4"/>
    <x v="2"/>
    <x v="0"/>
    <n v="1"/>
    <s v="0-1 Miles"/>
    <x v="2"/>
    <x v="15"/>
    <x v="0"/>
    <x v="0"/>
  </r>
  <r>
    <x v="664"/>
    <s v="Married"/>
    <x v="0"/>
    <x v="2"/>
    <x v="3"/>
    <x v="4"/>
    <x v="0"/>
    <x v="0"/>
    <n v="0"/>
    <s v="1-2 Miles"/>
    <x v="2"/>
    <x v="8"/>
    <x v="0"/>
    <x v="1"/>
  </r>
  <r>
    <x v="665"/>
    <s v="Married"/>
    <x v="1"/>
    <x v="12"/>
    <x v="0"/>
    <x v="4"/>
    <x v="4"/>
    <x v="0"/>
    <n v="4"/>
    <s v="0-1 Miles"/>
    <x v="2"/>
    <x v="8"/>
    <x v="0"/>
    <x v="0"/>
  </r>
  <r>
    <x v="666"/>
    <s v="Married"/>
    <x v="0"/>
    <x v="10"/>
    <x v="0"/>
    <x v="1"/>
    <x v="0"/>
    <x v="0"/>
    <n v="1"/>
    <s v="2-5 Miles"/>
    <x v="2"/>
    <x v="30"/>
    <x v="0"/>
    <x v="1"/>
  </r>
  <r>
    <x v="667"/>
    <s v="Married"/>
    <x v="0"/>
    <x v="0"/>
    <x v="2"/>
    <x v="2"/>
    <x v="2"/>
    <x v="1"/>
    <n v="2"/>
    <s v="10+ Miles"/>
    <x v="2"/>
    <x v="33"/>
    <x v="1"/>
    <x v="0"/>
  </r>
  <r>
    <x v="668"/>
    <s v="Married"/>
    <x v="0"/>
    <x v="10"/>
    <x v="3"/>
    <x v="4"/>
    <x v="2"/>
    <x v="0"/>
    <n v="0"/>
    <s v="0-1 Miles"/>
    <x v="2"/>
    <x v="8"/>
    <x v="0"/>
    <x v="0"/>
  </r>
  <r>
    <x v="669"/>
    <s v="Married"/>
    <x v="0"/>
    <x v="10"/>
    <x v="4"/>
    <x v="2"/>
    <x v="2"/>
    <x v="0"/>
    <n v="2"/>
    <s v="5-10 Miles"/>
    <x v="2"/>
    <x v="5"/>
    <x v="0"/>
    <x v="0"/>
  </r>
  <r>
    <x v="670"/>
    <s v="Married"/>
    <x v="1"/>
    <x v="3"/>
    <x v="4"/>
    <x v="1"/>
    <x v="2"/>
    <x v="0"/>
    <n v="1"/>
    <s v="10+ Miles"/>
    <x v="2"/>
    <x v="14"/>
    <x v="1"/>
    <x v="0"/>
  </r>
  <r>
    <x v="671"/>
    <s v="Single"/>
    <x v="0"/>
    <x v="10"/>
    <x v="0"/>
    <x v="4"/>
    <x v="2"/>
    <x v="0"/>
    <n v="0"/>
    <s v="2-5 Miles"/>
    <x v="2"/>
    <x v="4"/>
    <x v="0"/>
    <x v="1"/>
  </r>
  <r>
    <x v="672"/>
    <s v="Single"/>
    <x v="0"/>
    <x v="0"/>
    <x v="3"/>
    <x v="2"/>
    <x v="0"/>
    <x v="0"/>
    <n v="2"/>
    <s v="5-10 Miles"/>
    <x v="2"/>
    <x v="25"/>
    <x v="2"/>
    <x v="0"/>
  </r>
  <r>
    <x v="673"/>
    <s v="Single"/>
    <x v="0"/>
    <x v="3"/>
    <x v="5"/>
    <x v="4"/>
    <x v="2"/>
    <x v="0"/>
    <n v="0"/>
    <s v="2-5 Miles"/>
    <x v="2"/>
    <x v="11"/>
    <x v="0"/>
    <x v="1"/>
  </r>
  <r>
    <x v="674"/>
    <s v="Married"/>
    <x v="0"/>
    <x v="1"/>
    <x v="4"/>
    <x v="2"/>
    <x v="0"/>
    <x v="0"/>
    <n v="2"/>
    <s v="1-2 Miles"/>
    <x v="2"/>
    <x v="28"/>
    <x v="0"/>
    <x v="0"/>
  </r>
  <r>
    <x v="675"/>
    <s v="Married"/>
    <x v="1"/>
    <x v="11"/>
    <x v="1"/>
    <x v="0"/>
    <x v="4"/>
    <x v="0"/>
    <n v="4"/>
    <s v="0-1 Miles"/>
    <x v="2"/>
    <x v="3"/>
    <x v="0"/>
    <x v="0"/>
  </r>
  <r>
    <x v="676"/>
    <s v="Married"/>
    <x v="1"/>
    <x v="0"/>
    <x v="4"/>
    <x v="1"/>
    <x v="1"/>
    <x v="0"/>
    <n v="1"/>
    <s v="0-1 Miles"/>
    <x v="2"/>
    <x v="15"/>
    <x v="0"/>
    <x v="0"/>
  </r>
  <r>
    <x v="677"/>
    <s v="Married"/>
    <x v="1"/>
    <x v="10"/>
    <x v="5"/>
    <x v="4"/>
    <x v="0"/>
    <x v="1"/>
    <n v="0"/>
    <s v="0-1 Miles"/>
    <x v="2"/>
    <x v="15"/>
    <x v="0"/>
    <x v="0"/>
  </r>
  <r>
    <x v="678"/>
    <s v="Married"/>
    <x v="1"/>
    <x v="2"/>
    <x v="2"/>
    <x v="0"/>
    <x v="4"/>
    <x v="1"/>
    <n v="2"/>
    <s v="2-5 Miles"/>
    <x v="0"/>
    <x v="24"/>
    <x v="1"/>
    <x v="0"/>
  </r>
  <r>
    <x v="679"/>
    <s v="Married"/>
    <x v="1"/>
    <x v="10"/>
    <x v="5"/>
    <x v="0"/>
    <x v="4"/>
    <x v="0"/>
    <n v="2"/>
    <s v="10+ Miles"/>
    <x v="2"/>
    <x v="2"/>
    <x v="1"/>
    <x v="0"/>
  </r>
  <r>
    <x v="680"/>
    <s v="Married"/>
    <x v="0"/>
    <x v="10"/>
    <x v="3"/>
    <x v="1"/>
    <x v="0"/>
    <x v="1"/>
    <n v="1"/>
    <s v="1-2 Miles"/>
    <x v="2"/>
    <x v="6"/>
    <x v="0"/>
    <x v="0"/>
  </r>
  <r>
    <x v="681"/>
    <s v="Single"/>
    <x v="0"/>
    <x v="2"/>
    <x v="5"/>
    <x v="4"/>
    <x v="0"/>
    <x v="1"/>
    <n v="0"/>
    <s v="0-1 Miles"/>
    <x v="2"/>
    <x v="15"/>
    <x v="0"/>
    <x v="0"/>
  </r>
  <r>
    <x v="682"/>
    <s v="Married"/>
    <x v="1"/>
    <x v="6"/>
    <x v="1"/>
    <x v="3"/>
    <x v="1"/>
    <x v="1"/>
    <n v="2"/>
    <s v="0-1 Miles"/>
    <x v="2"/>
    <x v="31"/>
    <x v="0"/>
    <x v="0"/>
  </r>
  <r>
    <x v="683"/>
    <s v="Married"/>
    <x v="0"/>
    <x v="8"/>
    <x v="2"/>
    <x v="1"/>
    <x v="2"/>
    <x v="0"/>
    <n v="3"/>
    <s v="2-5 Miles"/>
    <x v="2"/>
    <x v="8"/>
    <x v="0"/>
    <x v="0"/>
  </r>
  <r>
    <x v="684"/>
    <s v="Single"/>
    <x v="0"/>
    <x v="10"/>
    <x v="5"/>
    <x v="0"/>
    <x v="0"/>
    <x v="1"/>
    <n v="2"/>
    <s v="0-1 Miles"/>
    <x v="2"/>
    <x v="0"/>
    <x v="0"/>
    <x v="0"/>
  </r>
  <r>
    <x v="685"/>
    <s v="Single"/>
    <x v="0"/>
    <x v="10"/>
    <x v="1"/>
    <x v="4"/>
    <x v="4"/>
    <x v="0"/>
    <n v="2"/>
    <s v="5-10 Miles"/>
    <x v="2"/>
    <x v="39"/>
    <x v="0"/>
    <x v="1"/>
  </r>
  <r>
    <x v="686"/>
    <s v="Married"/>
    <x v="0"/>
    <x v="0"/>
    <x v="0"/>
    <x v="1"/>
    <x v="1"/>
    <x v="0"/>
    <n v="1"/>
    <s v="1-2 Miles"/>
    <x v="2"/>
    <x v="36"/>
    <x v="0"/>
    <x v="1"/>
  </r>
  <r>
    <x v="687"/>
    <s v="Single"/>
    <x v="1"/>
    <x v="1"/>
    <x v="3"/>
    <x v="1"/>
    <x v="0"/>
    <x v="0"/>
    <n v="2"/>
    <s v="5-10 Miles"/>
    <x v="2"/>
    <x v="25"/>
    <x v="2"/>
    <x v="0"/>
  </r>
  <r>
    <x v="688"/>
    <s v="Single"/>
    <x v="1"/>
    <x v="10"/>
    <x v="3"/>
    <x v="0"/>
    <x v="0"/>
    <x v="1"/>
    <n v="2"/>
    <s v="0-1 Miles"/>
    <x v="2"/>
    <x v="25"/>
    <x v="2"/>
    <x v="0"/>
  </r>
  <r>
    <x v="689"/>
    <s v="Married"/>
    <x v="1"/>
    <x v="1"/>
    <x v="3"/>
    <x v="2"/>
    <x v="0"/>
    <x v="0"/>
    <n v="2"/>
    <s v="5-10 Miles"/>
    <x v="2"/>
    <x v="22"/>
    <x v="2"/>
    <x v="0"/>
  </r>
  <r>
    <x v="690"/>
    <s v="Single"/>
    <x v="0"/>
    <x v="12"/>
    <x v="0"/>
    <x v="0"/>
    <x v="4"/>
    <x v="1"/>
    <n v="1"/>
    <s v="2-5 Miles"/>
    <x v="2"/>
    <x v="12"/>
    <x v="0"/>
    <x v="0"/>
  </r>
  <r>
    <x v="691"/>
    <s v="Married"/>
    <x v="1"/>
    <x v="14"/>
    <x v="0"/>
    <x v="0"/>
    <x v="0"/>
    <x v="0"/>
    <n v="0"/>
    <s v="0-1 Miles"/>
    <x v="2"/>
    <x v="17"/>
    <x v="0"/>
    <x v="1"/>
  </r>
  <r>
    <x v="692"/>
    <s v="Married"/>
    <x v="1"/>
    <x v="3"/>
    <x v="0"/>
    <x v="0"/>
    <x v="2"/>
    <x v="0"/>
    <n v="1"/>
    <s v="2-5 Miles"/>
    <x v="2"/>
    <x v="20"/>
    <x v="0"/>
    <x v="1"/>
  </r>
  <r>
    <x v="693"/>
    <s v="Single"/>
    <x v="0"/>
    <x v="10"/>
    <x v="5"/>
    <x v="0"/>
    <x v="0"/>
    <x v="1"/>
    <n v="2"/>
    <s v="0-1 Miles"/>
    <x v="2"/>
    <x v="3"/>
    <x v="0"/>
    <x v="1"/>
  </r>
  <r>
    <x v="694"/>
    <s v="Single"/>
    <x v="0"/>
    <x v="2"/>
    <x v="1"/>
    <x v="4"/>
    <x v="2"/>
    <x v="1"/>
    <n v="0"/>
    <s v="0-1 Miles"/>
    <x v="2"/>
    <x v="4"/>
    <x v="0"/>
    <x v="1"/>
  </r>
  <r>
    <x v="695"/>
    <s v="Married"/>
    <x v="1"/>
    <x v="2"/>
    <x v="2"/>
    <x v="1"/>
    <x v="2"/>
    <x v="0"/>
    <n v="2"/>
    <s v="0-1 Miles"/>
    <x v="2"/>
    <x v="20"/>
    <x v="0"/>
    <x v="0"/>
  </r>
  <r>
    <x v="696"/>
    <s v="Single"/>
    <x v="1"/>
    <x v="10"/>
    <x v="3"/>
    <x v="1"/>
    <x v="2"/>
    <x v="1"/>
    <n v="2"/>
    <s v="1-2 Miles"/>
    <x v="2"/>
    <x v="25"/>
    <x v="2"/>
    <x v="0"/>
  </r>
  <r>
    <x v="697"/>
    <s v="Married"/>
    <x v="0"/>
    <x v="1"/>
    <x v="3"/>
    <x v="3"/>
    <x v="1"/>
    <x v="1"/>
    <n v="2"/>
    <s v="0-1 Miles"/>
    <x v="2"/>
    <x v="26"/>
    <x v="2"/>
    <x v="0"/>
  </r>
  <r>
    <x v="698"/>
    <s v="Married"/>
    <x v="1"/>
    <x v="6"/>
    <x v="4"/>
    <x v="3"/>
    <x v="1"/>
    <x v="0"/>
    <n v="2"/>
    <s v="1-2 Miles"/>
    <x v="2"/>
    <x v="38"/>
    <x v="0"/>
    <x v="0"/>
  </r>
  <r>
    <x v="699"/>
    <s v="Single"/>
    <x v="1"/>
    <x v="8"/>
    <x v="3"/>
    <x v="1"/>
    <x v="2"/>
    <x v="1"/>
    <n v="2"/>
    <s v="0-1 Miles"/>
    <x v="2"/>
    <x v="1"/>
    <x v="0"/>
    <x v="1"/>
  </r>
  <r>
    <x v="700"/>
    <s v="Married"/>
    <x v="0"/>
    <x v="3"/>
    <x v="5"/>
    <x v="0"/>
    <x v="4"/>
    <x v="0"/>
    <n v="1"/>
    <s v="1-2 Miles"/>
    <x v="2"/>
    <x v="14"/>
    <x v="1"/>
    <x v="0"/>
  </r>
  <r>
    <x v="701"/>
    <s v="Single"/>
    <x v="1"/>
    <x v="1"/>
    <x v="3"/>
    <x v="2"/>
    <x v="0"/>
    <x v="0"/>
    <n v="2"/>
    <s v="5-10 Miles"/>
    <x v="2"/>
    <x v="22"/>
    <x v="2"/>
    <x v="0"/>
  </r>
  <r>
    <x v="702"/>
    <s v="Married"/>
    <x v="1"/>
    <x v="7"/>
    <x v="0"/>
    <x v="2"/>
    <x v="2"/>
    <x v="0"/>
    <n v="4"/>
    <s v="5-10 Miles"/>
    <x v="2"/>
    <x v="30"/>
    <x v="0"/>
    <x v="1"/>
  </r>
  <r>
    <x v="703"/>
    <s v="Single"/>
    <x v="0"/>
    <x v="14"/>
    <x v="3"/>
    <x v="4"/>
    <x v="0"/>
    <x v="0"/>
    <n v="0"/>
    <s v="1-2 Miles"/>
    <x v="2"/>
    <x v="6"/>
    <x v="0"/>
    <x v="0"/>
  </r>
  <r>
    <x v="704"/>
    <s v="Single"/>
    <x v="0"/>
    <x v="0"/>
    <x v="3"/>
    <x v="0"/>
    <x v="2"/>
    <x v="0"/>
    <n v="1"/>
    <s v="2-5 Miles"/>
    <x v="2"/>
    <x v="0"/>
    <x v="0"/>
    <x v="1"/>
  </r>
  <r>
    <x v="705"/>
    <s v="Married"/>
    <x v="0"/>
    <x v="3"/>
    <x v="5"/>
    <x v="0"/>
    <x v="4"/>
    <x v="0"/>
    <n v="1"/>
    <s v="10+ Miles"/>
    <x v="2"/>
    <x v="14"/>
    <x v="1"/>
    <x v="0"/>
  </r>
  <r>
    <x v="706"/>
    <s v="Single"/>
    <x v="0"/>
    <x v="10"/>
    <x v="3"/>
    <x v="1"/>
    <x v="0"/>
    <x v="1"/>
    <n v="1"/>
    <s v="1-2 Miles"/>
    <x v="2"/>
    <x v="6"/>
    <x v="0"/>
    <x v="1"/>
  </r>
  <r>
    <x v="707"/>
    <s v="Married"/>
    <x v="0"/>
    <x v="3"/>
    <x v="0"/>
    <x v="1"/>
    <x v="0"/>
    <x v="0"/>
    <n v="1"/>
    <s v="0-1 Miles"/>
    <x v="2"/>
    <x v="20"/>
    <x v="0"/>
    <x v="1"/>
  </r>
  <r>
    <x v="708"/>
    <s v="Married"/>
    <x v="1"/>
    <x v="3"/>
    <x v="2"/>
    <x v="0"/>
    <x v="4"/>
    <x v="0"/>
    <n v="4"/>
    <s v="10+ Miles"/>
    <x v="2"/>
    <x v="2"/>
    <x v="1"/>
    <x v="0"/>
  </r>
  <r>
    <x v="709"/>
    <s v="Single"/>
    <x v="0"/>
    <x v="3"/>
    <x v="4"/>
    <x v="0"/>
    <x v="4"/>
    <x v="0"/>
    <n v="1"/>
    <s v="10+ Miles"/>
    <x v="2"/>
    <x v="14"/>
    <x v="1"/>
    <x v="0"/>
  </r>
  <r>
    <x v="710"/>
    <s v="Married"/>
    <x v="1"/>
    <x v="10"/>
    <x v="3"/>
    <x v="2"/>
    <x v="2"/>
    <x v="0"/>
    <n v="2"/>
    <s v="5-10 Miles"/>
    <x v="2"/>
    <x v="21"/>
    <x v="0"/>
    <x v="1"/>
  </r>
  <r>
    <x v="711"/>
    <s v="Married"/>
    <x v="0"/>
    <x v="3"/>
    <x v="4"/>
    <x v="1"/>
    <x v="2"/>
    <x v="0"/>
    <n v="1"/>
    <s v="10+ Miles"/>
    <x v="2"/>
    <x v="7"/>
    <x v="1"/>
    <x v="0"/>
  </r>
  <r>
    <x v="712"/>
    <s v="Married"/>
    <x v="0"/>
    <x v="0"/>
    <x v="4"/>
    <x v="2"/>
    <x v="2"/>
    <x v="1"/>
    <n v="2"/>
    <s v="2-5 Miles"/>
    <x v="2"/>
    <x v="14"/>
    <x v="1"/>
    <x v="0"/>
  </r>
  <r>
    <x v="713"/>
    <s v="Single"/>
    <x v="0"/>
    <x v="3"/>
    <x v="4"/>
    <x v="0"/>
    <x v="0"/>
    <x v="0"/>
    <n v="1"/>
    <s v="2-5 Miles"/>
    <x v="2"/>
    <x v="13"/>
    <x v="0"/>
    <x v="0"/>
  </r>
  <r>
    <x v="714"/>
    <s v="Married"/>
    <x v="1"/>
    <x v="0"/>
    <x v="3"/>
    <x v="2"/>
    <x v="0"/>
    <x v="0"/>
    <n v="2"/>
    <s v="5-10 Miles"/>
    <x v="2"/>
    <x v="26"/>
    <x v="2"/>
    <x v="1"/>
  </r>
  <r>
    <x v="715"/>
    <s v="Married"/>
    <x v="0"/>
    <x v="10"/>
    <x v="0"/>
    <x v="4"/>
    <x v="2"/>
    <x v="0"/>
    <n v="0"/>
    <s v="2-5 Miles"/>
    <x v="2"/>
    <x v="34"/>
    <x v="0"/>
    <x v="1"/>
  </r>
  <r>
    <x v="716"/>
    <s v="Single"/>
    <x v="0"/>
    <x v="2"/>
    <x v="3"/>
    <x v="4"/>
    <x v="0"/>
    <x v="1"/>
    <n v="0"/>
    <s v="0-1 Miles"/>
    <x v="2"/>
    <x v="8"/>
    <x v="0"/>
    <x v="0"/>
  </r>
  <r>
    <x v="717"/>
    <s v="Single"/>
    <x v="1"/>
    <x v="8"/>
    <x v="5"/>
    <x v="0"/>
    <x v="4"/>
    <x v="0"/>
    <n v="1"/>
    <s v="1-2 Miles"/>
    <x v="2"/>
    <x v="13"/>
    <x v="0"/>
    <x v="1"/>
  </r>
  <r>
    <x v="718"/>
    <s v="Married"/>
    <x v="1"/>
    <x v="3"/>
    <x v="5"/>
    <x v="4"/>
    <x v="2"/>
    <x v="0"/>
    <n v="0"/>
    <s v="2-5 Miles"/>
    <x v="2"/>
    <x v="4"/>
    <x v="0"/>
    <x v="1"/>
  </r>
  <r>
    <x v="719"/>
    <s v="Married"/>
    <x v="0"/>
    <x v="3"/>
    <x v="2"/>
    <x v="4"/>
    <x v="2"/>
    <x v="0"/>
    <n v="2"/>
    <s v="0-1 Miles"/>
    <x v="2"/>
    <x v="34"/>
    <x v="0"/>
    <x v="0"/>
  </r>
  <r>
    <x v="720"/>
    <s v="Single"/>
    <x v="0"/>
    <x v="0"/>
    <x v="2"/>
    <x v="2"/>
    <x v="2"/>
    <x v="1"/>
    <n v="3"/>
    <s v="2-5 Miles"/>
    <x v="2"/>
    <x v="2"/>
    <x v="1"/>
    <x v="1"/>
  </r>
  <r>
    <x v="721"/>
    <s v="Single"/>
    <x v="1"/>
    <x v="15"/>
    <x v="5"/>
    <x v="0"/>
    <x v="4"/>
    <x v="0"/>
    <n v="4"/>
    <s v="5-10 Miles"/>
    <x v="2"/>
    <x v="0"/>
    <x v="0"/>
    <x v="1"/>
  </r>
  <r>
    <x v="722"/>
    <s v="Single"/>
    <x v="0"/>
    <x v="3"/>
    <x v="1"/>
    <x v="4"/>
    <x v="4"/>
    <x v="1"/>
    <n v="2"/>
    <s v="1-2 Miles"/>
    <x v="2"/>
    <x v="39"/>
    <x v="0"/>
    <x v="0"/>
  </r>
  <r>
    <x v="723"/>
    <s v="Single"/>
    <x v="0"/>
    <x v="2"/>
    <x v="4"/>
    <x v="3"/>
    <x v="0"/>
    <x v="0"/>
    <n v="2"/>
    <s v="5-10 Miles"/>
    <x v="2"/>
    <x v="38"/>
    <x v="0"/>
    <x v="0"/>
  </r>
  <r>
    <x v="724"/>
    <s v="Married"/>
    <x v="1"/>
    <x v="1"/>
    <x v="4"/>
    <x v="2"/>
    <x v="0"/>
    <x v="0"/>
    <n v="2"/>
    <s v="1-2 Miles"/>
    <x v="2"/>
    <x v="38"/>
    <x v="0"/>
    <x v="0"/>
  </r>
  <r>
    <x v="725"/>
    <s v="Married"/>
    <x v="1"/>
    <x v="12"/>
    <x v="4"/>
    <x v="4"/>
    <x v="4"/>
    <x v="0"/>
    <n v="3"/>
    <s v="0-1 Miles"/>
    <x v="2"/>
    <x v="0"/>
    <x v="0"/>
    <x v="1"/>
  </r>
  <r>
    <x v="726"/>
    <s v="Married"/>
    <x v="1"/>
    <x v="6"/>
    <x v="4"/>
    <x v="2"/>
    <x v="3"/>
    <x v="1"/>
    <n v="2"/>
    <s v="0-1 Miles"/>
    <x v="2"/>
    <x v="39"/>
    <x v="0"/>
    <x v="0"/>
  </r>
  <r>
    <x v="727"/>
    <s v="Married"/>
    <x v="1"/>
    <x v="3"/>
    <x v="0"/>
    <x v="4"/>
    <x v="2"/>
    <x v="0"/>
    <n v="1"/>
    <s v="0-1 Miles"/>
    <x v="2"/>
    <x v="30"/>
    <x v="0"/>
    <x v="1"/>
  </r>
  <r>
    <x v="728"/>
    <s v="Married"/>
    <x v="1"/>
    <x v="0"/>
    <x v="3"/>
    <x v="2"/>
    <x v="0"/>
    <x v="0"/>
    <n v="2"/>
    <s v="5-10 Miles"/>
    <x v="2"/>
    <x v="40"/>
    <x v="2"/>
    <x v="0"/>
  </r>
  <r>
    <x v="729"/>
    <s v="Married"/>
    <x v="0"/>
    <x v="10"/>
    <x v="1"/>
    <x v="0"/>
    <x v="2"/>
    <x v="0"/>
    <n v="1"/>
    <s v="0-1 Miles"/>
    <x v="2"/>
    <x v="28"/>
    <x v="0"/>
    <x v="1"/>
  </r>
  <r>
    <x v="730"/>
    <s v="Single"/>
    <x v="0"/>
    <x v="10"/>
    <x v="5"/>
    <x v="0"/>
    <x v="0"/>
    <x v="0"/>
    <n v="2"/>
    <s v="2-5 Miles"/>
    <x v="2"/>
    <x v="3"/>
    <x v="0"/>
    <x v="1"/>
  </r>
  <r>
    <x v="731"/>
    <s v="Married"/>
    <x v="1"/>
    <x v="10"/>
    <x v="4"/>
    <x v="2"/>
    <x v="2"/>
    <x v="1"/>
    <n v="2"/>
    <s v="1-2 Miles"/>
    <x v="2"/>
    <x v="38"/>
    <x v="0"/>
    <x v="1"/>
  </r>
  <r>
    <x v="732"/>
    <s v="Single"/>
    <x v="0"/>
    <x v="10"/>
    <x v="3"/>
    <x v="4"/>
    <x v="2"/>
    <x v="0"/>
    <n v="1"/>
    <s v="2-5 Miles"/>
    <x v="2"/>
    <x v="13"/>
    <x v="0"/>
    <x v="1"/>
  </r>
  <r>
    <x v="733"/>
    <s v="Single"/>
    <x v="1"/>
    <x v="12"/>
    <x v="0"/>
    <x v="0"/>
    <x v="4"/>
    <x v="1"/>
    <n v="4"/>
    <s v="0-1 Miles"/>
    <x v="2"/>
    <x v="20"/>
    <x v="0"/>
    <x v="0"/>
  </r>
  <r>
    <x v="734"/>
    <s v="Single"/>
    <x v="0"/>
    <x v="12"/>
    <x v="0"/>
    <x v="0"/>
    <x v="4"/>
    <x v="1"/>
    <n v="3"/>
    <s v="0-1 Miles"/>
    <x v="2"/>
    <x v="12"/>
    <x v="0"/>
    <x v="1"/>
  </r>
  <r>
    <x v="735"/>
    <s v="Single"/>
    <x v="0"/>
    <x v="1"/>
    <x v="3"/>
    <x v="1"/>
    <x v="0"/>
    <x v="0"/>
    <n v="1"/>
    <s v="5-10 Miles"/>
    <x v="2"/>
    <x v="22"/>
    <x v="2"/>
    <x v="0"/>
  </r>
  <r>
    <x v="736"/>
    <s v="Married"/>
    <x v="1"/>
    <x v="0"/>
    <x v="3"/>
    <x v="2"/>
    <x v="0"/>
    <x v="0"/>
    <n v="1"/>
    <s v="5-10 Miles"/>
    <x v="2"/>
    <x v="23"/>
    <x v="0"/>
    <x v="0"/>
  </r>
  <r>
    <x v="737"/>
    <s v="Married"/>
    <x v="1"/>
    <x v="3"/>
    <x v="4"/>
    <x v="3"/>
    <x v="0"/>
    <x v="1"/>
    <n v="2"/>
    <s v="1-2 Miles"/>
    <x v="2"/>
    <x v="38"/>
    <x v="0"/>
    <x v="0"/>
  </r>
  <r>
    <x v="738"/>
    <s v="Single"/>
    <x v="0"/>
    <x v="0"/>
    <x v="4"/>
    <x v="1"/>
    <x v="1"/>
    <x v="1"/>
    <n v="1"/>
    <s v="1-2 Miles"/>
    <x v="2"/>
    <x v="15"/>
    <x v="0"/>
    <x v="1"/>
  </r>
  <r>
    <x v="739"/>
    <s v="Married"/>
    <x v="0"/>
    <x v="10"/>
    <x v="4"/>
    <x v="1"/>
    <x v="2"/>
    <x v="0"/>
    <n v="1"/>
    <s v="10+ Miles"/>
    <x v="2"/>
    <x v="10"/>
    <x v="1"/>
    <x v="0"/>
  </r>
  <r>
    <x v="740"/>
    <s v="Married"/>
    <x v="1"/>
    <x v="0"/>
    <x v="5"/>
    <x v="1"/>
    <x v="1"/>
    <x v="1"/>
    <n v="0"/>
    <s v="0-1 Miles"/>
    <x v="2"/>
    <x v="25"/>
    <x v="2"/>
    <x v="0"/>
  </r>
  <r>
    <x v="741"/>
    <s v="Married"/>
    <x v="0"/>
    <x v="0"/>
    <x v="0"/>
    <x v="1"/>
    <x v="1"/>
    <x v="0"/>
    <n v="1"/>
    <s v="1-2 Miles"/>
    <x v="2"/>
    <x v="28"/>
    <x v="0"/>
    <x v="1"/>
  </r>
  <r>
    <x v="742"/>
    <s v="Single"/>
    <x v="1"/>
    <x v="1"/>
    <x v="3"/>
    <x v="2"/>
    <x v="0"/>
    <x v="0"/>
    <n v="2"/>
    <s v="5-10 Miles"/>
    <x v="2"/>
    <x v="25"/>
    <x v="2"/>
    <x v="0"/>
  </r>
  <r>
    <x v="743"/>
    <s v="Married"/>
    <x v="1"/>
    <x v="15"/>
    <x v="0"/>
    <x v="0"/>
    <x v="4"/>
    <x v="0"/>
    <n v="3"/>
    <s v="5-10 Miles"/>
    <x v="2"/>
    <x v="12"/>
    <x v="0"/>
    <x v="0"/>
  </r>
  <r>
    <x v="744"/>
    <s v="Married"/>
    <x v="0"/>
    <x v="3"/>
    <x v="5"/>
    <x v="1"/>
    <x v="2"/>
    <x v="0"/>
    <n v="1"/>
    <s v="10+ Miles"/>
    <x v="2"/>
    <x v="16"/>
    <x v="1"/>
    <x v="0"/>
  </r>
  <r>
    <x v="745"/>
    <s v="Married"/>
    <x v="1"/>
    <x v="10"/>
    <x v="5"/>
    <x v="4"/>
    <x v="0"/>
    <x v="0"/>
    <n v="0"/>
    <s v="1-2 Miles"/>
    <x v="2"/>
    <x v="15"/>
    <x v="0"/>
    <x v="1"/>
  </r>
  <r>
    <x v="746"/>
    <s v="Married"/>
    <x v="0"/>
    <x v="10"/>
    <x v="4"/>
    <x v="0"/>
    <x v="4"/>
    <x v="0"/>
    <n v="0"/>
    <s v="10+ Miles"/>
    <x v="2"/>
    <x v="16"/>
    <x v="1"/>
    <x v="0"/>
  </r>
  <r>
    <x v="747"/>
    <s v="Single"/>
    <x v="0"/>
    <x v="3"/>
    <x v="0"/>
    <x v="0"/>
    <x v="2"/>
    <x v="1"/>
    <n v="1"/>
    <s v="0-1 Miles"/>
    <x v="2"/>
    <x v="20"/>
    <x v="0"/>
    <x v="0"/>
  </r>
  <r>
    <x v="748"/>
    <s v="Married"/>
    <x v="1"/>
    <x v="12"/>
    <x v="4"/>
    <x v="4"/>
    <x v="4"/>
    <x v="0"/>
    <n v="3"/>
    <s v="2-5 Miles"/>
    <x v="2"/>
    <x v="45"/>
    <x v="1"/>
    <x v="0"/>
  </r>
  <r>
    <x v="749"/>
    <s v="Married"/>
    <x v="0"/>
    <x v="3"/>
    <x v="4"/>
    <x v="1"/>
    <x v="2"/>
    <x v="0"/>
    <n v="1"/>
    <s v="2-5 Miles"/>
    <x v="2"/>
    <x v="14"/>
    <x v="1"/>
    <x v="0"/>
  </r>
  <r>
    <x v="750"/>
    <s v="Married"/>
    <x v="1"/>
    <x v="1"/>
    <x v="4"/>
    <x v="2"/>
    <x v="0"/>
    <x v="0"/>
    <n v="2"/>
    <s v="1-2 Miles"/>
    <x v="2"/>
    <x v="5"/>
    <x v="0"/>
    <x v="0"/>
  </r>
  <r>
    <x v="751"/>
    <s v="Married"/>
    <x v="1"/>
    <x v="10"/>
    <x v="0"/>
    <x v="4"/>
    <x v="2"/>
    <x v="0"/>
    <n v="0"/>
    <s v="2-5 Miles"/>
    <x v="2"/>
    <x v="4"/>
    <x v="0"/>
    <x v="0"/>
  </r>
  <r>
    <x v="752"/>
    <s v="Married"/>
    <x v="1"/>
    <x v="10"/>
    <x v="3"/>
    <x v="1"/>
    <x v="2"/>
    <x v="0"/>
    <n v="2"/>
    <s v="5-10 Miles"/>
    <x v="2"/>
    <x v="21"/>
    <x v="0"/>
    <x v="0"/>
  </r>
  <r>
    <x v="753"/>
    <s v="Single"/>
    <x v="0"/>
    <x v="0"/>
    <x v="3"/>
    <x v="1"/>
    <x v="0"/>
    <x v="1"/>
    <n v="1"/>
    <s v="1-2 Miles"/>
    <x v="2"/>
    <x v="40"/>
    <x v="2"/>
    <x v="0"/>
  </r>
  <r>
    <x v="754"/>
    <s v="Married"/>
    <x v="0"/>
    <x v="0"/>
    <x v="5"/>
    <x v="2"/>
    <x v="2"/>
    <x v="0"/>
    <n v="2"/>
    <s v="5-10 Miles"/>
    <x v="2"/>
    <x v="14"/>
    <x v="1"/>
    <x v="1"/>
  </r>
  <r>
    <x v="755"/>
    <s v="Married"/>
    <x v="1"/>
    <x v="10"/>
    <x v="1"/>
    <x v="2"/>
    <x v="2"/>
    <x v="1"/>
    <n v="2"/>
    <s v="2-5 Miles"/>
    <x v="2"/>
    <x v="39"/>
    <x v="0"/>
    <x v="0"/>
  </r>
  <r>
    <x v="756"/>
    <s v="Married"/>
    <x v="1"/>
    <x v="0"/>
    <x v="0"/>
    <x v="0"/>
    <x v="0"/>
    <x v="1"/>
    <n v="1"/>
    <s v="0-1 Miles"/>
    <x v="2"/>
    <x v="4"/>
    <x v="0"/>
    <x v="1"/>
  </r>
  <r>
    <x v="757"/>
    <s v="Single"/>
    <x v="1"/>
    <x v="1"/>
    <x v="0"/>
    <x v="2"/>
    <x v="1"/>
    <x v="0"/>
    <n v="2"/>
    <s v="1-2 Miles"/>
    <x v="2"/>
    <x v="36"/>
    <x v="0"/>
    <x v="1"/>
  </r>
  <r>
    <x v="758"/>
    <s v="Single"/>
    <x v="0"/>
    <x v="2"/>
    <x v="2"/>
    <x v="4"/>
    <x v="0"/>
    <x v="1"/>
    <n v="0"/>
    <s v="0-1 Miles"/>
    <x v="2"/>
    <x v="15"/>
    <x v="0"/>
    <x v="0"/>
  </r>
  <r>
    <x v="759"/>
    <s v="Single"/>
    <x v="0"/>
    <x v="10"/>
    <x v="1"/>
    <x v="4"/>
    <x v="2"/>
    <x v="0"/>
    <n v="0"/>
    <s v="2-5 Miles"/>
    <x v="2"/>
    <x v="1"/>
    <x v="0"/>
    <x v="1"/>
  </r>
  <r>
    <x v="760"/>
    <s v="Single"/>
    <x v="1"/>
    <x v="6"/>
    <x v="1"/>
    <x v="3"/>
    <x v="1"/>
    <x v="1"/>
    <n v="2"/>
    <s v="0-1 Miles"/>
    <x v="2"/>
    <x v="5"/>
    <x v="0"/>
    <x v="0"/>
  </r>
  <r>
    <x v="761"/>
    <s v="Married"/>
    <x v="0"/>
    <x v="10"/>
    <x v="2"/>
    <x v="0"/>
    <x v="4"/>
    <x v="0"/>
    <n v="3"/>
    <s v="10+ Miles"/>
    <x v="2"/>
    <x v="14"/>
    <x v="1"/>
    <x v="0"/>
  </r>
  <r>
    <x v="762"/>
    <s v="Single"/>
    <x v="1"/>
    <x v="14"/>
    <x v="4"/>
    <x v="0"/>
    <x v="0"/>
    <x v="0"/>
    <n v="0"/>
    <s v="2-5 Miles"/>
    <x v="2"/>
    <x v="34"/>
    <x v="0"/>
    <x v="1"/>
  </r>
  <r>
    <x v="763"/>
    <s v="Married"/>
    <x v="1"/>
    <x v="14"/>
    <x v="0"/>
    <x v="4"/>
    <x v="0"/>
    <x v="0"/>
    <n v="0"/>
    <s v="0-1 Miles"/>
    <x v="2"/>
    <x v="6"/>
    <x v="0"/>
    <x v="1"/>
  </r>
  <r>
    <x v="764"/>
    <s v="Married"/>
    <x v="0"/>
    <x v="10"/>
    <x v="3"/>
    <x v="1"/>
    <x v="0"/>
    <x v="1"/>
    <n v="1"/>
    <s v="1-2 Miles"/>
    <x v="2"/>
    <x v="40"/>
    <x v="2"/>
    <x v="0"/>
  </r>
  <r>
    <x v="765"/>
    <s v="Single"/>
    <x v="0"/>
    <x v="3"/>
    <x v="3"/>
    <x v="1"/>
    <x v="0"/>
    <x v="0"/>
    <n v="2"/>
    <s v="5-10 Miles"/>
    <x v="2"/>
    <x v="17"/>
    <x v="0"/>
    <x v="1"/>
  </r>
  <r>
    <x v="766"/>
    <s v="Married"/>
    <x v="1"/>
    <x v="14"/>
    <x v="5"/>
    <x v="0"/>
    <x v="0"/>
    <x v="0"/>
    <n v="3"/>
    <s v="10+ Miles"/>
    <x v="2"/>
    <x v="0"/>
    <x v="0"/>
    <x v="0"/>
  </r>
  <r>
    <x v="767"/>
    <s v="Married"/>
    <x v="0"/>
    <x v="10"/>
    <x v="4"/>
    <x v="1"/>
    <x v="2"/>
    <x v="0"/>
    <n v="2"/>
    <s v="2-5 Miles"/>
    <x v="2"/>
    <x v="42"/>
    <x v="1"/>
    <x v="1"/>
  </r>
  <r>
    <x v="768"/>
    <s v="Married"/>
    <x v="0"/>
    <x v="7"/>
    <x v="0"/>
    <x v="2"/>
    <x v="2"/>
    <x v="1"/>
    <n v="4"/>
    <s v="2-5 Miles"/>
    <x v="2"/>
    <x v="12"/>
    <x v="0"/>
    <x v="0"/>
  </r>
  <r>
    <x v="769"/>
    <s v="Married"/>
    <x v="0"/>
    <x v="11"/>
    <x v="5"/>
    <x v="0"/>
    <x v="4"/>
    <x v="0"/>
    <n v="4"/>
    <s v="0-1 Miles"/>
    <x v="2"/>
    <x v="8"/>
    <x v="0"/>
    <x v="0"/>
  </r>
  <r>
    <x v="770"/>
    <s v="Married"/>
    <x v="1"/>
    <x v="10"/>
    <x v="0"/>
    <x v="4"/>
    <x v="0"/>
    <x v="1"/>
    <n v="0"/>
    <s v="0-1 Miles"/>
    <x v="2"/>
    <x v="10"/>
    <x v="1"/>
    <x v="0"/>
  </r>
  <r>
    <x v="771"/>
    <s v="Married"/>
    <x v="1"/>
    <x v="2"/>
    <x v="0"/>
    <x v="1"/>
    <x v="0"/>
    <x v="1"/>
    <n v="1"/>
    <s v="0-1 Miles"/>
    <x v="2"/>
    <x v="15"/>
    <x v="0"/>
    <x v="1"/>
  </r>
  <r>
    <x v="772"/>
    <s v="Single"/>
    <x v="1"/>
    <x v="10"/>
    <x v="5"/>
    <x v="4"/>
    <x v="0"/>
    <x v="0"/>
    <n v="0"/>
    <s v="1-2 Miles"/>
    <x v="2"/>
    <x v="15"/>
    <x v="0"/>
    <x v="1"/>
  </r>
  <r>
    <x v="773"/>
    <s v="Married"/>
    <x v="0"/>
    <x v="10"/>
    <x v="0"/>
    <x v="4"/>
    <x v="0"/>
    <x v="0"/>
    <n v="0"/>
    <s v="0-1 Miles"/>
    <x v="2"/>
    <x v="17"/>
    <x v="0"/>
    <x v="0"/>
  </r>
  <r>
    <x v="774"/>
    <s v="Married"/>
    <x v="0"/>
    <x v="2"/>
    <x v="1"/>
    <x v="4"/>
    <x v="2"/>
    <x v="0"/>
    <n v="0"/>
    <s v="0-1 Miles"/>
    <x v="2"/>
    <x v="4"/>
    <x v="0"/>
    <x v="1"/>
  </r>
  <r>
    <x v="775"/>
    <s v="Married"/>
    <x v="1"/>
    <x v="3"/>
    <x v="4"/>
    <x v="3"/>
    <x v="0"/>
    <x v="0"/>
    <n v="2"/>
    <s v="10+ Miles"/>
    <x v="2"/>
    <x v="9"/>
    <x v="0"/>
    <x v="0"/>
  </r>
  <r>
    <x v="776"/>
    <s v="Single"/>
    <x v="1"/>
    <x v="3"/>
    <x v="4"/>
    <x v="0"/>
    <x v="4"/>
    <x v="1"/>
    <n v="1"/>
    <s v="2-5 Miles"/>
    <x v="2"/>
    <x v="14"/>
    <x v="1"/>
    <x v="1"/>
  </r>
  <r>
    <x v="777"/>
    <s v="Single"/>
    <x v="1"/>
    <x v="0"/>
    <x v="3"/>
    <x v="2"/>
    <x v="0"/>
    <x v="0"/>
    <n v="2"/>
    <s v="5-10 Miles"/>
    <x v="2"/>
    <x v="40"/>
    <x v="2"/>
    <x v="0"/>
  </r>
  <r>
    <x v="778"/>
    <s v="Married"/>
    <x v="1"/>
    <x v="8"/>
    <x v="2"/>
    <x v="1"/>
    <x v="2"/>
    <x v="0"/>
    <n v="3"/>
    <s v="0-1 Miles"/>
    <x v="2"/>
    <x v="3"/>
    <x v="0"/>
    <x v="0"/>
  </r>
  <r>
    <x v="779"/>
    <s v="Married"/>
    <x v="1"/>
    <x v="2"/>
    <x v="1"/>
    <x v="1"/>
    <x v="2"/>
    <x v="1"/>
    <n v="2"/>
    <s v="2-5 Miles"/>
    <x v="2"/>
    <x v="5"/>
    <x v="0"/>
    <x v="1"/>
  </r>
  <r>
    <x v="780"/>
    <s v="Married"/>
    <x v="0"/>
    <x v="10"/>
    <x v="4"/>
    <x v="1"/>
    <x v="2"/>
    <x v="0"/>
    <n v="1"/>
    <s v="10+ Miles"/>
    <x v="2"/>
    <x v="10"/>
    <x v="1"/>
    <x v="0"/>
  </r>
  <r>
    <x v="781"/>
    <s v="Married"/>
    <x v="1"/>
    <x v="2"/>
    <x v="5"/>
    <x v="0"/>
    <x v="4"/>
    <x v="0"/>
    <n v="0"/>
    <s v="0-1 Miles"/>
    <x v="2"/>
    <x v="1"/>
    <x v="0"/>
    <x v="0"/>
  </r>
  <r>
    <x v="782"/>
    <s v="Single"/>
    <x v="1"/>
    <x v="3"/>
    <x v="5"/>
    <x v="0"/>
    <x v="2"/>
    <x v="0"/>
    <n v="2"/>
    <s v="2-5 Miles"/>
    <x v="2"/>
    <x v="1"/>
    <x v="0"/>
    <x v="1"/>
  </r>
  <r>
    <x v="783"/>
    <s v="Married"/>
    <x v="1"/>
    <x v="10"/>
    <x v="5"/>
    <x v="0"/>
    <x v="0"/>
    <x v="0"/>
    <n v="3"/>
    <s v="5-10 Miles"/>
    <x v="2"/>
    <x v="0"/>
    <x v="0"/>
    <x v="0"/>
  </r>
  <r>
    <x v="784"/>
    <s v="Single"/>
    <x v="0"/>
    <x v="4"/>
    <x v="4"/>
    <x v="2"/>
    <x v="3"/>
    <x v="0"/>
    <n v="2"/>
    <s v="1-2 Miles"/>
    <x v="2"/>
    <x v="39"/>
    <x v="0"/>
    <x v="1"/>
  </r>
  <r>
    <x v="785"/>
    <s v="Single"/>
    <x v="0"/>
    <x v="0"/>
    <x v="3"/>
    <x v="2"/>
    <x v="0"/>
    <x v="1"/>
    <n v="2"/>
    <s v="0-1 Miles"/>
    <x v="2"/>
    <x v="26"/>
    <x v="2"/>
    <x v="1"/>
  </r>
  <r>
    <x v="786"/>
    <s v="Married"/>
    <x v="0"/>
    <x v="14"/>
    <x v="0"/>
    <x v="0"/>
    <x v="0"/>
    <x v="0"/>
    <n v="1"/>
    <s v="0-1 Miles"/>
    <x v="2"/>
    <x v="11"/>
    <x v="0"/>
    <x v="0"/>
  </r>
  <r>
    <x v="787"/>
    <s v="Single"/>
    <x v="0"/>
    <x v="3"/>
    <x v="4"/>
    <x v="0"/>
    <x v="4"/>
    <x v="1"/>
    <n v="1"/>
    <s v="2-5 Miles"/>
    <x v="2"/>
    <x v="14"/>
    <x v="1"/>
    <x v="1"/>
  </r>
  <r>
    <x v="788"/>
    <s v="Single"/>
    <x v="0"/>
    <x v="6"/>
    <x v="4"/>
    <x v="3"/>
    <x v="1"/>
    <x v="0"/>
    <n v="2"/>
    <s v="1-2 Miles"/>
    <x v="2"/>
    <x v="38"/>
    <x v="0"/>
    <x v="0"/>
  </r>
  <r>
    <x v="789"/>
    <s v="Married"/>
    <x v="1"/>
    <x v="10"/>
    <x v="4"/>
    <x v="2"/>
    <x v="2"/>
    <x v="1"/>
    <n v="2"/>
    <s v="1-2 Miles"/>
    <x v="2"/>
    <x v="28"/>
    <x v="0"/>
    <x v="1"/>
  </r>
  <r>
    <x v="790"/>
    <s v="Single"/>
    <x v="0"/>
    <x v="2"/>
    <x v="4"/>
    <x v="3"/>
    <x v="0"/>
    <x v="1"/>
    <n v="2"/>
    <s v="1-2 Miles"/>
    <x v="2"/>
    <x v="5"/>
    <x v="0"/>
    <x v="0"/>
  </r>
  <r>
    <x v="791"/>
    <s v="Married"/>
    <x v="1"/>
    <x v="0"/>
    <x v="3"/>
    <x v="2"/>
    <x v="0"/>
    <x v="0"/>
    <n v="2"/>
    <s v="5-10 Miles"/>
    <x v="2"/>
    <x v="26"/>
    <x v="2"/>
    <x v="1"/>
  </r>
  <r>
    <x v="792"/>
    <s v="Single"/>
    <x v="1"/>
    <x v="1"/>
    <x v="0"/>
    <x v="2"/>
    <x v="1"/>
    <x v="1"/>
    <n v="1"/>
    <s v="5-10 Miles"/>
    <x v="2"/>
    <x v="31"/>
    <x v="0"/>
    <x v="0"/>
  </r>
  <r>
    <x v="793"/>
    <s v="Married"/>
    <x v="1"/>
    <x v="1"/>
    <x v="0"/>
    <x v="2"/>
    <x v="1"/>
    <x v="0"/>
    <n v="1"/>
    <s v="2-5 Miles"/>
    <x v="2"/>
    <x v="31"/>
    <x v="0"/>
    <x v="1"/>
  </r>
  <r>
    <x v="794"/>
    <s v="Married"/>
    <x v="1"/>
    <x v="14"/>
    <x v="4"/>
    <x v="4"/>
    <x v="4"/>
    <x v="0"/>
    <n v="2"/>
    <s v="5-10 Miles"/>
    <x v="2"/>
    <x v="45"/>
    <x v="1"/>
    <x v="0"/>
  </r>
  <r>
    <x v="795"/>
    <s v="Single"/>
    <x v="1"/>
    <x v="10"/>
    <x v="4"/>
    <x v="2"/>
    <x v="2"/>
    <x v="0"/>
    <n v="2"/>
    <s v="5-10 Miles"/>
    <x v="2"/>
    <x v="36"/>
    <x v="0"/>
    <x v="0"/>
  </r>
  <r>
    <x v="796"/>
    <s v="Married"/>
    <x v="1"/>
    <x v="3"/>
    <x v="2"/>
    <x v="1"/>
    <x v="2"/>
    <x v="0"/>
    <n v="2"/>
    <s v="1-2 Miles"/>
    <x v="2"/>
    <x v="42"/>
    <x v="1"/>
    <x v="1"/>
  </r>
  <r>
    <x v="797"/>
    <s v="Single"/>
    <x v="1"/>
    <x v="10"/>
    <x v="3"/>
    <x v="1"/>
    <x v="0"/>
    <x v="0"/>
    <n v="1"/>
    <s v="5-10 Miles"/>
    <x v="2"/>
    <x v="40"/>
    <x v="2"/>
    <x v="1"/>
  </r>
  <r>
    <x v="798"/>
    <s v="Single"/>
    <x v="0"/>
    <x v="1"/>
    <x v="3"/>
    <x v="2"/>
    <x v="0"/>
    <x v="1"/>
    <n v="2"/>
    <s v="0-1 Miles"/>
    <x v="2"/>
    <x v="37"/>
    <x v="2"/>
    <x v="1"/>
  </r>
  <r>
    <x v="799"/>
    <s v="Single"/>
    <x v="0"/>
    <x v="14"/>
    <x v="0"/>
    <x v="4"/>
    <x v="0"/>
    <x v="0"/>
    <n v="0"/>
    <s v="1-2 Miles"/>
    <x v="2"/>
    <x v="6"/>
    <x v="0"/>
    <x v="1"/>
  </r>
  <r>
    <x v="800"/>
    <s v="Single"/>
    <x v="1"/>
    <x v="10"/>
    <x v="5"/>
    <x v="0"/>
    <x v="2"/>
    <x v="0"/>
    <n v="2"/>
    <s v="2-5 Miles"/>
    <x v="2"/>
    <x v="1"/>
    <x v="0"/>
    <x v="1"/>
  </r>
  <r>
    <x v="801"/>
    <s v="Married"/>
    <x v="1"/>
    <x v="3"/>
    <x v="5"/>
    <x v="4"/>
    <x v="4"/>
    <x v="0"/>
    <n v="2"/>
    <s v="5-10 Miles"/>
    <x v="2"/>
    <x v="49"/>
    <x v="1"/>
    <x v="0"/>
  </r>
  <r>
    <x v="802"/>
    <s v="Married"/>
    <x v="1"/>
    <x v="0"/>
    <x v="3"/>
    <x v="1"/>
    <x v="0"/>
    <x v="0"/>
    <n v="1"/>
    <s v="5-10 Miles"/>
    <x v="2"/>
    <x v="40"/>
    <x v="2"/>
    <x v="0"/>
  </r>
  <r>
    <x v="803"/>
    <s v="Married"/>
    <x v="1"/>
    <x v="0"/>
    <x v="3"/>
    <x v="2"/>
    <x v="0"/>
    <x v="0"/>
    <n v="2"/>
    <s v="5-10 Miles"/>
    <x v="2"/>
    <x v="26"/>
    <x v="2"/>
    <x v="1"/>
  </r>
  <r>
    <x v="804"/>
    <s v="Married"/>
    <x v="1"/>
    <x v="0"/>
    <x v="3"/>
    <x v="2"/>
    <x v="0"/>
    <x v="1"/>
    <n v="2"/>
    <s v="0-1 Miles"/>
    <x v="2"/>
    <x v="40"/>
    <x v="2"/>
    <x v="1"/>
  </r>
  <r>
    <x v="805"/>
    <s v="Single"/>
    <x v="0"/>
    <x v="0"/>
    <x v="3"/>
    <x v="2"/>
    <x v="0"/>
    <x v="0"/>
    <n v="2"/>
    <s v="5-10 Miles"/>
    <x v="2"/>
    <x v="23"/>
    <x v="0"/>
    <x v="0"/>
  </r>
  <r>
    <x v="806"/>
    <s v="Married"/>
    <x v="0"/>
    <x v="4"/>
    <x v="4"/>
    <x v="2"/>
    <x v="3"/>
    <x v="0"/>
    <n v="2"/>
    <s v="1-2 Miles"/>
    <x v="2"/>
    <x v="39"/>
    <x v="0"/>
    <x v="0"/>
  </r>
  <r>
    <x v="807"/>
    <s v="Single"/>
    <x v="0"/>
    <x v="10"/>
    <x v="3"/>
    <x v="1"/>
    <x v="2"/>
    <x v="1"/>
    <n v="2"/>
    <s v="1-2 Miles"/>
    <x v="2"/>
    <x v="21"/>
    <x v="0"/>
    <x v="1"/>
  </r>
  <r>
    <x v="808"/>
    <s v="Single"/>
    <x v="1"/>
    <x v="1"/>
    <x v="4"/>
    <x v="2"/>
    <x v="0"/>
    <x v="0"/>
    <n v="2"/>
    <s v="1-2 Miles"/>
    <x v="2"/>
    <x v="5"/>
    <x v="0"/>
    <x v="1"/>
  </r>
  <r>
    <x v="809"/>
    <s v="Married"/>
    <x v="0"/>
    <x v="0"/>
    <x v="5"/>
    <x v="2"/>
    <x v="2"/>
    <x v="0"/>
    <n v="2"/>
    <s v="5-10 Miles"/>
    <x v="2"/>
    <x v="45"/>
    <x v="1"/>
    <x v="0"/>
  </r>
  <r>
    <x v="810"/>
    <s v="Single"/>
    <x v="0"/>
    <x v="3"/>
    <x v="1"/>
    <x v="4"/>
    <x v="4"/>
    <x v="0"/>
    <n v="2"/>
    <s v="5-10 Miles"/>
    <x v="2"/>
    <x v="31"/>
    <x v="0"/>
    <x v="1"/>
  </r>
  <r>
    <x v="811"/>
    <s v="Married"/>
    <x v="1"/>
    <x v="10"/>
    <x v="3"/>
    <x v="1"/>
    <x v="0"/>
    <x v="1"/>
    <n v="2"/>
    <s v="1-2 Miles"/>
    <x v="2"/>
    <x v="23"/>
    <x v="0"/>
    <x v="0"/>
  </r>
  <r>
    <x v="812"/>
    <s v="Single"/>
    <x v="0"/>
    <x v="3"/>
    <x v="5"/>
    <x v="0"/>
    <x v="4"/>
    <x v="0"/>
    <n v="2"/>
    <s v="10+ Miles"/>
    <x v="2"/>
    <x v="33"/>
    <x v="1"/>
    <x v="0"/>
  </r>
  <r>
    <x v="813"/>
    <s v="Married"/>
    <x v="0"/>
    <x v="3"/>
    <x v="4"/>
    <x v="2"/>
    <x v="2"/>
    <x v="0"/>
    <n v="2"/>
    <s v="10+ Miles"/>
    <x v="2"/>
    <x v="39"/>
    <x v="0"/>
    <x v="0"/>
  </r>
  <r>
    <x v="814"/>
    <s v="Single"/>
    <x v="0"/>
    <x v="3"/>
    <x v="5"/>
    <x v="0"/>
    <x v="4"/>
    <x v="0"/>
    <n v="2"/>
    <s v="1-2 Miles"/>
    <x v="2"/>
    <x v="24"/>
    <x v="1"/>
    <x v="1"/>
  </r>
  <r>
    <x v="815"/>
    <s v="Married"/>
    <x v="1"/>
    <x v="0"/>
    <x v="3"/>
    <x v="1"/>
    <x v="0"/>
    <x v="1"/>
    <n v="2"/>
    <s v="1-2 Miles"/>
    <x v="2"/>
    <x v="25"/>
    <x v="2"/>
    <x v="0"/>
  </r>
  <r>
    <x v="816"/>
    <s v="Married"/>
    <x v="0"/>
    <x v="10"/>
    <x v="1"/>
    <x v="4"/>
    <x v="2"/>
    <x v="0"/>
    <n v="0"/>
    <s v="2-5 Miles"/>
    <x v="2"/>
    <x v="1"/>
    <x v="0"/>
    <x v="1"/>
  </r>
  <r>
    <x v="817"/>
    <s v="Married"/>
    <x v="0"/>
    <x v="10"/>
    <x v="1"/>
    <x v="4"/>
    <x v="2"/>
    <x v="0"/>
    <n v="0"/>
    <s v="2-5 Miles"/>
    <x v="2"/>
    <x v="0"/>
    <x v="0"/>
    <x v="1"/>
  </r>
  <r>
    <x v="818"/>
    <s v="Married"/>
    <x v="1"/>
    <x v="0"/>
    <x v="3"/>
    <x v="1"/>
    <x v="0"/>
    <x v="0"/>
    <n v="1"/>
    <s v="5-10 Miles"/>
    <x v="2"/>
    <x v="25"/>
    <x v="2"/>
    <x v="0"/>
  </r>
  <r>
    <x v="819"/>
    <s v="Single"/>
    <x v="0"/>
    <x v="0"/>
    <x v="3"/>
    <x v="2"/>
    <x v="0"/>
    <x v="0"/>
    <n v="2"/>
    <s v="5-10 Miles"/>
    <x v="2"/>
    <x v="25"/>
    <x v="2"/>
    <x v="0"/>
  </r>
  <r>
    <x v="820"/>
    <s v="Single"/>
    <x v="1"/>
    <x v="15"/>
    <x v="0"/>
    <x v="0"/>
    <x v="4"/>
    <x v="0"/>
    <n v="1"/>
    <s v="5-10 Miles"/>
    <x v="2"/>
    <x v="1"/>
    <x v="0"/>
    <x v="0"/>
  </r>
  <r>
    <x v="821"/>
    <s v="Married"/>
    <x v="1"/>
    <x v="10"/>
    <x v="3"/>
    <x v="1"/>
    <x v="0"/>
    <x v="0"/>
    <n v="2"/>
    <s v="5-10 Miles"/>
    <x v="2"/>
    <x v="6"/>
    <x v="0"/>
    <x v="1"/>
  </r>
  <r>
    <x v="822"/>
    <s v="Married"/>
    <x v="1"/>
    <x v="1"/>
    <x v="3"/>
    <x v="2"/>
    <x v="0"/>
    <x v="0"/>
    <n v="2"/>
    <s v="5-10 Miles"/>
    <x v="2"/>
    <x v="21"/>
    <x v="0"/>
    <x v="0"/>
  </r>
  <r>
    <x v="823"/>
    <s v="Single"/>
    <x v="0"/>
    <x v="3"/>
    <x v="5"/>
    <x v="2"/>
    <x v="2"/>
    <x v="0"/>
    <n v="0"/>
    <s v="5-10 Miles"/>
    <x v="2"/>
    <x v="5"/>
    <x v="0"/>
    <x v="1"/>
  </r>
  <r>
    <x v="824"/>
    <s v="Single"/>
    <x v="1"/>
    <x v="15"/>
    <x v="4"/>
    <x v="0"/>
    <x v="4"/>
    <x v="1"/>
    <n v="3"/>
    <s v="0-1 Miles"/>
    <x v="2"/>
    <x v="34"/>
    <x v="0"/>
    <x v="1"/>
  </r>
  <r>
    <x v="825"/>
    <s v="Married"/>
    <x v="1"/>
    <x v="3"/>
    <x v="1"/>
    <x v="2"/>
    <x v="2"/>
    <x v="1"/>
    <n v="1"/>
    <s v="1-2 Miles"/>
    <x v="2"/>
    <x v="31"/>
    <x v="0"/>
    <x v="1"/>
  </r>
  <r>
    <x v="826"/>
    <s v="Married"/>
    <x v="1"/>
    <x v="3"/>
    <x v="5"/>
    <x v="4"/>
    <x v="2"/>
    <x v="0"/>
    <n v="0"/>
    <s v="2-5 Miles"/>
    <x v="2"/>
    <x v="4"/>
    <x v="0"/>
    <x v="1"/>
  </r>
  <r>
    <x v="827"/>
    <s v="Single"/>
    <x v="0"/>
    <x v="2"/>
    <x v="1"/>
    <x v="0"/>
    <x v="0"/>
    <x v="0"/>
    <n v="2"/>
    <s v="2-5 Miles"/>
    <x v="2"/>
    <x v="3"/>
    <x v="0"/>
    <x v="1"/>
  </r>
  <r>
    <x v="828"/>
    <s v="Single"/>
    <x v="0"/>
    <x v="0"/>
    <x v="3"/>
    <x v="3"/>
    <x v="1"/>
    <x v="0"/>
    <n v="2"/>
    <s v="5-10 Miles"/>
    <x v="2"/>
    <x v="22"/>
    <x v="2"/>
    <x v="0"/>
  </r>
  <r>
    <x v="829"/>
    <s v="Single"/>
    <x v="1"/>
    <x v="9"/>
    <x v="0"/>
    <x v="4"/>
    <x v="4"/>
    <x v="1"/>
    <n v="4"/>
    <s v="0-1 Miles"/>
    <x v="2"/>
    <x v="29"/>
    <x v="1"/>
    <x v="0"/>
  </r>
  <r>
    <x v="830"/>
    <s v="Married"/>
    <x v="1"/>
    <x v="10"/>
    <x v="4"/>
    <x v="2"/>
    <x v="2"/>
    <x v="1"/>
    <n v="2"/>
    <s v="5-10 Miles"/>
    <x v="2"/>
    <x v="36"/>
    <x v="0"/>
    <x v="0"/>
  </r>
  <r>
    <x v="831"/>
    <s v="Married"/>
    <x v="0"/>
    <x v="3"/>
    <x v="5"/>
    <x v="0"/>
    <x v="2"/>
    <x v="0"/>
    <n v="2"/>
    <s v="0-1 Miles"/>
    <x v="2"/>
    <x v="1"/>
    <x v="0"/>
    <x v="1"/>
  </r>
  <r>
    <x v="832"/>
    <s v="Married"/>
    <x v="0"/>
    <x v="10"/>
    <x v="3"/>
    <x v="4"/>
    <x v="2"/>
    <x v="0"/>
    <n v="0"/>
    <s v="0-1 Miles"/>
    <x v="2"/>
    <x v="32"/>
    <x v="0"/>
    <x v="0"/>
  </r>
  <r>
    <x v="833"/>
    <s v="Single"/>
    <x v="0"/>
    <x v="3"/>
    <x v="3"/>
    <x v="0"/>
    <x v="2"/>
    <x v="1"/>
    <n v="1"/>
    <s v="0-1 Miles"/>
    <x v="2"/>
    <x v="34"/>
    <x v="0"/>
    <x v="1"/>
  </r>
  <r>
    <x v="834"/>
    <s v="Single"/>
    <x v="0"/>
    <x v="3"/>
    <x v="4"/>
    <x v="3"/>
    <x v="0"/>
    <x v="1"/>
    <n v="2"/>
    <s v="2-5 Miles"/>
    <x v="2"/>
    <x v="9"/>
    <x v="0"/>
    <x v="1"/>
  </r>
  <r>
    <x v="835"/>
    <s v="Single"/>
    <x v="0"/>
    <x v="10"/>
    <x v="1"/>
    <x v="0"/>
    <x v="0"/>
    <x v="0"/>
    <n v="0"/>
    <s v="2-5 Miles"/>
    <x v="2"/>
    <x v="8"/>
    <x v="0"/>
    <x v="1"/>
  </r>
  <r>
    <x v="836"/>
    <s v="Married"/>
    <x v="0"/>
    <x v="0"/>
    <x v="3"/>
    <x v="1"/>
    <x v="0"/>
    <x v="0"/>
    <n v="2"/>
    <s v="5-10 Miles"/>
    <x v="2"/>
    <x v="26"/>
    <x v="2"/>
    <x v="0"/>
  </r>
  <r>
    <x v="837"/>
    <s v="Married"/>
    <x v="1"/>
    <x v="10"/>
    <x v="0"/>
    <x v="4"/>
    <x v="0"/>
    <x v="0"/>
    <n v="0"/>
    <s v="0-1 Miles"/>
    <x v="2"/>
    <x v="6"/>
    <x v="0"/>
    <x v="0"/>
  </r>
  <r>
    <x v="838"/>
    <s v="Single"/>
    <x v="0"/>
    <x v="2"/>
    <x v="1"/>
    <x v="0"/>
    <x v="0"/>
    <x v="0"/>
    <n v="2"/>
    <s v="2-5 Miles"/>
    <x v="2"/>
    <x v="3"/>
    <x v="0"/>
    <x v="1"/>
  </r>
  <r>
    <x v="839"/>
    <s v="Single"/>
    <x v="0"/>
    <x v="2"/>
    <x v="1"/>
    <x v="4"/>
    <x v="2"/>
    <x v="0"/>
    <n v="0"/>
    <s v="0-1 Miles"/>
    <x v="2"/>
    <x v="34"/>
    <x v="0"/>
    <x v="1"/>
  </r>
  <r>
    <x v="840"/>
    <s v="Married"/>
    <x v="1"/>
    <x v="3"/>
    <x v="5"/>
    <x v="1"/>
    <x v="2"/>
    <x v="0"/>
    <n v="2"/>
    <s v="10+ Miles"/>
    <x v="2"/>
    <x v="39"/>
    <x v="0"/>
    <x v="0"/>
  </r>
  <r>
    <x v="841"/>
    <s v="Married"/>
    <x v="1"/>
    <x v="7"/>
    <x v="4"/>
    <x v="4"/>
    <x v="4"/>
    <x v="0"/>
    <n v="3"/>
    <s v="5-10 Miles"/>
    <x v="2"/>
    <x v="46"/>
    <x v="1"/>
    <x v="0"/>
  </r>
  <r>
    <x v="842"/>
    <s v="Married"/>
    <x v="0"/>
    <x v="10"/>
    <x v="0"/>
    <x v="1"/>
    <x v="0"/>
    <x v="0"/>
    <n v="1"/>
    <s v="2-5 Miles"/>
    <x v="2"/>
    <x v="12"/>
    <x v="0"/>
    <x v="1"/>
  </r>
  <r>
    <x v="843"/>
    <s v="Single"/>
    <x v="1"/>
    <x v="2"/>
    <x v="4"/>
    <x v="3"/>
    <x v="0"/>
    <x v="1"/>
    <n v="2"/>
    <s v="1-2 Miles"/>
    <x v="2"/>
    <x v="31"/>
    <x v="0"/>
    <x v="0"/>
  </r>
  <r>
    <x v="844"/>
    <s v="Married"/>
    <x v="0"/>
    <x v="0"/>
    <x v="2"/>
    <x v="2"/>
    <x v="2"/>
    <x v="0"/>
    <n v="2"/>
    <s v="10+ Miles"/>
    <x v="2"/>
    <x v="2"/>
    <x v="1"/>
    <x v="0"/>
  </r>
  <r>
    <x v="845"/>
    <s v="Single"/>
    <x v="0"/>
    <x v="6"/>
    <x v="1"/>
    <x v="3"/>
    <x v="1"/>
    <x v="0"/>
    <n v="2"/>
    <s v="1-2 Miles"/>
    <x v="2"/>
    <x v="5"/>
    <x v="0"/>
    <x v="0"/>
  </r>
  <r>
    <x v="846"/>
    <s v="Married"/>
    <x v="0"/>
    <x v="3"/>
    <x v="5"/>
    <x v="1"/>
    <x v="2"/>
    <x v="1"/>
    <n v="1"/>
    <s v="1-2 Miles"/>
    <x v="2"/>
    <x v="16"/>
    <x v="1"/>
    <x v="0"/>
  </r>
  <r>
    <x v="847"/>
    <s v="Single"/>
    <x v="0"/>
    <x v="0"/>
    <x v="3"/>
    <x v="3"/>
    <x v="1"/>
    <x v="0"/>
    <n v="2"/>
    <s v="5-10 Miles"/>
    <x v="2"/>
    <x v="19"/>
    <x v="2"/>
    <x v="0"/>
  </r>
  <r>
    <x v="848"/>
    <s v="Single"/>
    <x v="1"/>
    <x v="12"/>
    <x v="3"/>
    <x v="4"/>
    <x v="4"/>
    <x v="1"/>
    <n v="2"/>
    <s v="0-1 Miles"/>
    <x v="2"/>
    <x v="13"/>
    <x v="0"/>
    <x v="1"/>
  </r>
  <r>
    <x v="849"/>
    <s v="Married"/>
    <x v="0"/>
    <x v="0"/>
    <x v="2"/>
    <x v="2"/>
    <x v="2"/>
    <x v="1"/>
    <n v="2"/>
    <s v="2-5 Miles"/>
    <x v="2"/>
    <x v="2"/>
    <x v="1"/>
    <x v="0"/>
  </r>
  <r>
    <x v="850"/>
    <s v="Single"/>
    <x v="0"/>
    <x v="12"/>
    <x v="4"/>
    <x v="0"/>
    <x v="4"/>
    <x v="1"/>
    <n v="4"/>
    <s v="0-1 Miles"/>
    <x v="2"/>
    <x v="41"/>
    <x v="1"/>
    <x v="0"/>
  </r>
  <r>
    <x v="851"/>
    <s v="Married"/>
    <x v="1"/>
    <x v="10"/>
    <x v="3"/>
    <x v="1"/>
    <x v="0"/>
    <x v="0"/>
    <n v="1"/>
    <s v="5-10 Miles"/>
    <x v="2"/>
    <x v="21"/>
    <x v="0"/>
    <x v="1"/>
  </r>
  <r>
    <x v="852"/>
    <s v="Single"/>
    <x v="1"/>
    <x v="14"/>
    <x v="4"/>
    <x v="0"/>
    <x v="0"/>
    <x v="1"/>
    <n v="1"/>
    <s v="0-1 Miles"/>
    <x v="2"/>
    <x v="32"/>
    <x v="0"/>
    <x v="1"/>
  </r>
  <r>
    <x v="853"/>
    <s v="Single"/>
    <x v="1"/>
    <x v="10"/>
    <x v="0"/>
    <x v="4"/>
    <x v="2"/>
    <x v="0"/>
    <n v="0"/>
    <s v="2-5 Miles"/>
    <x v="2"/>
    <x v="11"/>
    <x v="0"/>
    <x v="1"/>
  </r>
  <r>
    <x v="854"/>
    <s v="Married"/>
    <x v="0"/>
    <x v="10"/>
    <x v="3"/>
    <x v="1"/>
    <x v="2"/>
    <x v="0"/>
    <n v="2"/>
    <s v="5-10 Miles"/>
    <x v="2"/>
    <x v="21"/>
    <x v="0"/>
    <x v="0"/>
  </r>
  <r>
    <x v="855"/>
    <s v="Single"/>
    <x v="0"/>
    <x v="1"/>
    <x v="3"/>
    <x v="1"/>
    <x v="0"/>
    <x v="1"/>
    <n v="1"/>
    <s v="1-2 Miles"/>
    <x v="2"/>
    <x v="23"/>
    <x v="0"/>
    <x v="0"/>
  </r>
  <r>
    <x v="856"/>
    <s v="Single"/>
    <x v="1"/>
    <x v="0"/>
    <x v="3"/>
    <x v="1"/>
    <x v="0"/>
    <x v="0"/>
    <n v="1"/>
    <s v="5-10 Miles"/>
    <x v="2"/>
    <x v="40"/>
    <x v="2"/>
    <x v="0"/>
  </r>
  <r>
    <x v="857"/>
    <s v="Married"/>
    <x v="0"/>
    <x v="10"/>
    <x v="0"/>
    <x v="0"/>
    <x v="2"/>
    <x v="0"/>
    <n v="1"/>
    <s v="0-1 Miles"/>
    <x v="2"/>
    <x v="15"/>
    <x v="0"/>
    <x v="1"/>
  </r>
  <r>
    <x v="858"/>
    <s v="Married"/>
    <x v="1"/>
    <x v="0"/>
    <x v="3"/>
    <x v="0"/>
    <x v="2"/>
    <x v="1"/>
    <n v="1"/>
    <s v="0-1 Miles"/>
    <x v="2"/>
    <x v="0"/>
    <x v="0"/>
    <x v="0"/>
  </r>
  <r>
    <x v="859"/>
    <s v="Married"/>
    <x v="1"/>
    <x v="1"/>
    <x v="4"/>
    <x v="2"/>
    <x v="0"/>
    <x v="0"/>
    <n v="2"/>
    <s v="1-2 Miles"/>
    <x v="2"/>
    <x v="38"/>
    <x v="0"/>
    <x v="0"/>
  </r>
  <r>
    <x v="860"/>
    <s v="Single"/>
    <x v="1"/>
    <x v="1"/>
    <x v="3"/>
    <x v="1"/>
    <x v="0"/>
    <x v="0"/>
    <n v="1"/>
    <s v="5-10 Miles"/>
    <x v="2"/>
    <x v="21"/>
    <x v="0"/>
    <x v="0"/>
  </r>
  <r>
    <x v="861"/>
    <s v="Married"/>
    <x v="0"/>
    <x v="6"/>
    <x v="4"/>
    <x v="2"/>
    <x v="3"/>
    <x v="1"/>
    <n v="2"/>
    <s v="1-2 Miles"/>
    <x v="2"/>
    <x v="39"/>
    <x v="0"/>
    <x v="1"/>
  </r>
  <r>
    <x v="862"/>
    <s v="Married"/>
    <x v="1"/>
    <x v="14"/>
    <x v="3"/>
    <x v="4"/>
    <x v="0"/>
    <x v="0"/>
    <n v="0"/>
    <s v="1-2 Miles"/>
    <x v="2"/>
    <x v="21"/>
    <x v="0"/>
    <x v="1"/>
  </r>
  <r>
    <x v="863"/>
    <s v="Single"/>
    <x v="1"/>
    <x v="2"/>
    <x v="3"/>
    <x v="0"/>
    <x v="4"/>
    <x v="1"/>
    <n v="1"/>
    <s v="0-1 Miles"/>
    <x v="2"/>
    <x v="13"/>
    <x v="0"/>
    <x v="1"/>
  </r>
  <r>
    <x v="864"/>
    <s v="Single"/>
    <x v="1"/>
    <x v="0"/>
    <x v="3"/>
    <x v="2"/>
    <x v="0"/>
    <x v="0"/>
    <n v="2"/>
    <s v="5-10 Miles"/>
    <x v="2"/>
    <x v="23"/>
    <x v="0"/>
    <x v="0"/>
  </r>
  <r>
    <x v="865"/>
    <s v="Single"/>
    <x v="0"/>
    <x v="2"/>
    <x v="3"/>
    <x v="0"/>
    <x v="4"/>
    <x v="1"/>
    <n v="1"/>
    <s v="0-1 Miles"/>
    <x v="2"/>
    <x v="13"/>
    <x v="0"/>
    <x v="1"/>
  </r>
  <r>
    <x v="866"/>
    <s v="Married"/>
    <x v="1"/>
    <x v="10"/>
    <x v="4"/>
    <x v="2"/>
    <x v="2"/>
    <x v="0"/>
    <n v="2"/>
    <s v="10+ Miles"/>
    <x v="2"/>
    <x v="10"/>
    <x v="1"/>
    <x v="0"/>
  </r>
  <r>
    <x v="867"/>
    <s v="Married"/>
    <x v="1"/>
    <x v="3"/>
    <x v="1"/>
    <x v="1"/>
    <x v="2"/>
    <x v="0"/>
    <n v="1"/>
    <s v="5-10 Miles"/>
    <x v="2"/>
    <x v="38"/>
    <x v="0"/>
    <x v="0"/>
  </r>
  <r>
    <x v="868"/>
    <s v="Single"/>
    <x v="1"/>
    <x v="1"/>
    <x v="2"/>
    <x v="3"/>
    <x v="0"/>
    <x v="0"/>
    <n v="3"/>
    <s v="10+ Miles"/>
    <x v="2"/>
    <x v="2"/>
    <x v="1"/>
    <x v="1"/>
  </r>
  <r>
    <x v="869"/>
    <s v="Single"/>
    <x v="0"/>
    <x v="15"/>
    <x v="1"/>
    <x v="0"/>
    <x v="4"/>
    <x v="1"/>
    <n v="4"/>
    <s v="1-2 Miles"/>
    <x v="2"/>
    <x v="0"/>
    <x v="0"/>
    <x v="0"/>
  </r>
  <r>
    <x v="870"/>
    <s v="Married"/>
    <x v="1"/>
    <x v="10"/>
    <x v="0"/>
    <x v="1"/>
    <x v="0"/>
    <x v="0"/>
    <n v="1"/>
    <s v="0-1 Miles"/>
    <x v="2"/>
    <x v="30"/>
    <x v="0"/>
    <x v="0"/>
  </r>
  <r>
    <x v="871"/>
    <s v="Married"/>
    <x v="1"/>
    <x v="10"/>
    <x v="4"/>
    <x v="2"/>
    <x v="2"/>
    <x v="0"/>
    <n v="2"/>
    <s v="10+ Miles"/>
    <x v="2"/>
    <x v="10"/>
    <x v="1"/>
    <x v="0"/>
  </r>
  <r>
    <x v="872"/>
    <s v="Single"/>
    <x v="0"/>
    <x v="3"/>
    <x v="1"/>
    <x v="4"/>
    <x v="4"/>
    <x v="0"/>
    <n v="2"/>
    <s v="5-10 Miles"/>
    <x v="2"/>
    <x v="39"/>
    <x v="0"/>
    <x v="1"/>
  </r>
  <r>
    <x v="873"/>
    <s v="Married"/>
    <x v="1"/>
    <x v="14"/>
    <x v="1"/>
    <x v="0"/>
    <x v="0"/>
    <x v="0"/>
    <n v="2"/>
    <s v="2-5 Miles"/>
    <x v="2"/>
    <x v="8"/>
    <x v="0"/>
    <x v="0"/>
  </r>
  <r>
    <x v="874"/>
    <s v="Married"/>
    <x v="0"/>
    <x v="1"/>
    <x v="0"/>
    <x v="0"/>
    <x v="0"/>
    <x v="0"/>
    <n v="1"/>
    <s v="5-10 Miles"/>
    <x v="2"/>
    <x v="39"/>
    <x v="0"/>
    <x v="1"/>
  </r>
  <r>
    <x v="875"/>
    <s v="Single"/>
    <x v="0"/>
    <x v="3"/>
    <x v="4"/>
    <x v="0"/>
    <x v="0"/>
    <x v="0"/>
    <n v="0"/>
    <s v="2-5 Miles"/>
    <x v="2"/>
    <x v="13"/>
    <x v="0"/>
    <x v="1"/>
  </r>
  <r>
    <x v="876"/>
    <s v="Single"/>
    <x v="1"/>
    <x v="1"/>
    <x v="3"/>
    <x v="3"/>
    <x v="1"/>
    <x v="1"/>
    <n v="2"/>
    <s v="0-1 Miles"/>
    <x v="2"/>
    <x v="22"/>
    <x v="2"/>
    <x v="0"/>
  </r>
  <r>
    <x v="877"/>
    <s v="Married"/>
    <x v="1"/>
    <x v="3"/>
    <x v="2"/>
    <x v="0"/>
    <x v="4"/>
    <x v="0"/>
    <n v="2"/>
    <s v="2-5 Miles"/>
    <x v="2"/>
    <x v="33"/>
    <x v="1"/>
    <x v="0"/>
  </r>
  <r>
    <x v="878"/>
    <s v="Married"/>
    <x v="1"/>
    <x v="14"/>
    <x v="4"/>
    <x v="4"/>
    <x v="4"/>
    <x v="0"/>
    <n v="2"/>
    <s v="5-10 Miles"/>
    <x v="2"/>
    <x v="51"/>
    <x v="1"/>
    <x v="0"/>
  </r>
  <r>
    <x v="879"/>
    <s v="Married"/>
    <x v="1"/>
    <x v="8"/>
    <x v="5"/>
    <x v="2"/>
    <x v="2"/>
    <x v="0"/>
    <n v="2"/>
    <s v="1-2 Miles"/>
    <x v="2"/>
    <x v="12"/>
    <x v="0"/>
    <x v="0"/>
  </r>
  <r>
    <x v="880"/>
    <s v="Married"/>
    <x v="1"/>
    <x v="2"/>
    <x v="4"/>
    <x v="4"/>
    <x v="2"/>
    <x v="0"/>
    <n v="0"/>
    <s v="0-1 Miles"/>
    <x v="2"/>
    <x v="34"/>
    <x v="0"/>
    <x v="1"/>
  </r>
  <r>
    <x v="881"/>
    <s v="Married"/>
    <x v="0"/>
    <x v="2"/>
    <x v="5"/>
    <x v="4"/>
    <x v="4"/>
    <x v="0"/>
    <n v="2"/>
    <s v="0-1 Miles"/>
    <x v="2"/>
    <x v="52"/>
    <x v="1"/>
    <x v="1"/>
  </r>
  <r>
    <x v="882"/>
    <s v="Married"/>
    <x v="1"/>
    <x v="1"/>
    <x v="3"/>
    <x v="4"/>
    <x v="0"/>
    <x v="0"/>
    <n v="0"/>
    <s v="0-1 Miles"/>
    <x v="2"/>
    <x v="21"/>
    <x v="0"/>
    <x v="0"/>
  </r>
  <r>
    <x v="883"/>
    <s v="Married"/>
    <x v="0"/>
    <x v="10"/>
    <x v="0"/>
    <x v="0"/>
    <x v="2"/>
    <x v="0"/>
    <n v="1"/>
    <s v="2-5 Miles"/>
    <x v="2"/>
    <x v="28"/>
    <x v="0"/>
    <x v="1"/>
  </r>
  <r>
    <x v="884"/>
    <s v="Married"/>
    <x v="1"/>
    <x v="2"/>
    <x v="5"/>
    <x v="4"/>
    <x v="4"/>
    <x v="0"/>
    <n v="2"/>
    <s v="5-10 Miles"/>
    <x v="2"/>
    <x v="35"/>
    <x v="1"/>
    <x v="0"/>
  </r>
  <r>
    <x v="885"/>
    <s v="Married"/>
    <x v="0"/>
    <x v="6"/>
    <x v="4"/>
    <x v="3"/>
    <x v="1"/>
    <x v="0"/>
    <n v="2"/>
    <s v="0-1 Miles"/>
    <x v="2"/>
    <x v="38"/>
    <x v="0"/>
    <x v="0"/>
  </r>
  <r>
    <x v="886"/>
    <s v="Married"/>
    <x v="1"/>
    <x v="3"/>
    <x v="1"/>
    <x v="4"/>
    <x v="2"/>
    <x v="0"/>
    <n v="0"/>
    <s v="2-5 Miles"/>
    <x v="2"/>
    <x v="17"/>
    <x v="0"/>
    <x v="0"/>
  </r>
  <r>
    <x v="887"/>
    <s v="Married"/>
    <x v="1"/>
    <x v="14"/>
    <x v="3"/>
    <x v="4"/>
    <x v="0"/>
    <x v="0"/>
    <n v="0"/>
    <s v="0-1 Miles"/>
    <x v="2"/>
    <x v="21"/>
    <x v="0"/>
    <x v="0"/>
  </r>
  <r>
    <x v="888"/>
    <s v="Single"/>
    <x v="0"/>
    <x v="10"/>
    <x v="5"/>
    <x v="0"/>
    <x v="0"/>
    <x v="1"/>
    <n v="2"/>
    <s v="0-1 Miles"/>
    <x v="2"/>
    <x v="0"/>
    <x v="0"/>
    <x v="0"/>
  </r>
  <r>
    <x v="889"/>
    <s v="Married"/>
    <x v="0"/>
    <x v="3"/>
    <x v="0"/>
    <x v="4"/>
    <x v="0"/>
    <x v="0"/>
    <n v="0"/>
    <s v="0-1 Miles"/>
    <x v="2"/>
    <x v="11"/>
    <x v="0"/>
    <x v="1"/>
  </r>
  <r>
    <x v="890"/>
    <s v="Married"/>
    <x v="0"/>
    <x v="0"/>
    <x v="4"/>
    <x v="1"/>
    <x v="1"/>
    <x v="0"/>
    <n v="1"/>
    <s v="0-1 Miles"/>
    <x v="2"/>
    <x v="28"/>
    <x v="0"/>
    <x v="0"/>
  </r>
  <r>
    <x v="891"/>
    <s v="Single"/>
    <x v="1"/>
    <x v="11"/>
    <x v="0"/>
    <x v="4"/>
    <x v="4"/>
    <x v="0"/>
    <n v="3"/>
    <s v="2-5 Miles"/>
    <x v="2"/>
    <x v="49"/>
    <x v="1"/>
    <x v="1"/>
  </r>
  <r>
    <x v="892"/>
    <s v="Single"/>
    <x v="0"/>
    <x v="3"/>
    <x v="5"/>
    <x v="0"/>
    <x v="0"/>
    <x v="0"/>
    <n v="2"/>
    <s v="2-5 Miles"/>
    <x v="2"/>
    <x v="1"/>
    <x v="0"/>
    <x v="1"/>
  </r>
  <r>
    <x v="893"/>
    <s v="Married"/>
    <x v="1"/>
    <x v="10"/>
    <x v="0"/>
    <x v="4"/>
    <x v="2"/>
    <x v="0"/>
    <n v="0"/>
    <s v="0-1 Miles"/>
    <x v="2"/>
    <x v="11"/>
    <x v="0"/>
    <x v="0"/>
  </r>
  <r>
    <x v="894"/>
    <s v="Married"/>
    <x v="1"/>
    <x v="3"/>
    <x v="1"/>
    <x v="4"/>
    <x v="2"/>
    <x v="0"/>
    <n v="0"/>
    <s v="0-1 Miles"/>
    <x v="2"/>
    <x v="11"/>
    <x v="0"/>
    <x v="1"/>
  </r>
  <r>
    <x v="895"/>
    <s v="Married"/>
    <x v="0"/>
    <x v="14"/>
    <x v="5"/>
    <x v="0"/>
    <x v="4"/>
    <x v="0"/>
    <n v="2"/>
    <s v="1-2 Miles"/>
    <x v="2"/>
    <x v="46"/>
    <x v="1"/>
    <x v="1"/>
  </r>
  <r>
    <x v="896"/>
    <s v="Married"/>
    <x v="0"/>
    <x v="14"/>
    <x v="0"/>
    <x v="0"/>
    <x v="0"/>
    <x v="0"/>
    <n v="0"/>
    <s v="0-1 Miles"/>
    <x v="2"/>
    <x v="17"/>
    <x v="0"/>
    <x v="1"/>
  </r>
  <r>
    <x v="897"/>
    <s v="Married"/>
    <x v="1"/>
    <x v="1"/>
    <x v="3"/>
    <x v="3"/>
    <x v="1"/>
    <x v="1"/>
    <n v="2"/>
    <s v="0-1 Miles"/>
    <x v="2"/>
    <x v="26"/>
    <x v="2"/>
    <x v="0"/>
  </r>
  <r>
    <x v="898"/>
    <s v="Single"/>
    <x v="1"/>
    <x v="3"/>
    <x v="2"/>
    <x v="0"/>
    <x v="4"/>
    <x v="0"/>
    <n v="3"/>
    <s v="10+ Miles"/>
    <x v="2"/>
    <x v="2"/>
    <x v="1"/>
    <x v="1"/>
  </r>
  <r>
    <x v="899"/>
    <s v="Married"/>
    <x v="0"/>
    <x v="3"/>
    <x v="2"/>
    <x v="4"/>
    <x v="2"/>
    <x v="0"/>
    <n v="3"/>
    <s v="10+ Miles"/>
    <x v="2"/>
    <x v="30"/>
    <x v="0"/>
    <x v="0"/>
  </r>
  <r>
    <x v="900"/>
    <s v="Married"/>
    <x v="1"/>
    <x v="0"/>
    <x v="5"/>
    <x v="2"/>
    <x v="0"/>
    <x v="0"/>
    <n v="2"/>
    <s v="0-1 Miles"/>
    <x v="2"/>
    <x v="20"/>
    <x v="0"/>
    <x v="1"/>
  </r>
  <r>
    <x v="901"/>
    <s v="Single"/>
    <x v="0"/>
    <x v="10"/>
    <x v="5"/>
    <x v="0"/>
    <x v="0"/>
    <x v="0"/>
    <n v="2"/>
    <s v="2-5 Miles"/>
    <x v="2"/>
    <x v="0"/>
    <x v="0"/>
    <x v="1"/>
  </r>
  <r>
    <x v="902"/>
    <s v="Single"/>
    <x v="1"/>
    <x v="2"/>
    <x v="1"/>
    <x v="0"/>
    <x v="0"/>
    <x v="0"/>
    <n v="0"/>
    <s v="2-5 Miles"/>
    <x v="2"/>
    <x v="8"/>
    <x v="0"/>
    <x v="0"/>
  </r>
  <r>
    <x v="903"/>
    <s v="Single"/>
    <x v="1"/>
    <x v="8"/>
    <x v="5"/>
    <x v="4"/>
    <x v="4"/>
    <x v="0"/>
    <n v="1"/>
    <s v="5-10 Miles"/>
    <x v="2"/>
    <x v="49"/>
    <x v="1"/>
    <x v="0"/>
  </r>
  <r>
    <x v="904"/>
    <s v="Single"/>
    <x v="0"/>
    <x v="10"/>
    <x v="4"/>
    <x v="0"/>
    <x v="0"/>
    <x v="1"/>
    <n v="0"/>
    <s v="0-1 Miles"/>
    <x v="2"/>
    <x v="4"/>
    <x v="0"/>
    <x v="1"/>
  </r>
  <r>
    <x v="905"/>
    <s v="Single"/>
    <x v="1"/>
    <x v="8"/>
    <x v="5"/>
    <x v="0"/>
    <x v="4"/>
    <x v="0"/>
    <n v="1"/>
    <s v="1-2 Miles"/>
    <x v="2"/>
    <x v="13"/>
    <x v="0"/>
    <x v="1"/>
  </r>
  <r>
    <x v="906"/>
    <s v="Married"/>
    <x v="1"/>
    <x v="10"/>
    <x v="0"/>
    <x v="4"/>
    <x v="2"/>
    <x v="0"/>
    <n v="0"/>
    <s v="2-5 Miles"/>
    <x v="2"/>
    <x v="17"/>
    <x v="0"/>
    <x v="1"/>
  </r>
  <r>
    <x v="907"/>
    <s v="Married"/>
    <x v="1"/>
    <x v="14"/>
    <x v="5"/>
    <x v="0"/>
    <x v="4"/>
    <x v="0"/>
    <n v="2"/>
    <s v="10+ Miles"/>
    <x v="2"/>
    <x v="18"/>
    <x v="1"/>
    <x v="0"/>
  </r>
  <r>
    <x v="908"/>
    <s v="Single"/>
    <x v="1"/>
    <x v="14"/>
    <x v="1"/>
    <x v="0"/>
    <x v="0"/>
    <x v="0"/>
    <n v="2"/>
    <s v="2-5 Miles"/>
    <x v="2"/>
    <x v="3"/>
    <x v="0"/>
    <x v="1"/>
  </r>
  <r>
    <x v="909"/>
    <s v="Married"/>
    <x v="1"/>
    <x v="10"/>
    <x v="3"/>
    <x v="4"/>
    <x v="0"/>
    <x v="0"/>
    <n v="0"/>
    <s v="1-2 Miles"/>
    <x v="2"/>
    <x v="32"/>
    <x v="0"/>
    <x v="1"/>
  </r>
  <r>
    <x v="910"/>
    <s v="Married"/>
    <x v="1"/>
    <x v="0"/>
    <x v="5"/>
    <x v="2"/>
    <x v="0"/>
    <x v="0"/>
    <n v="2"/>
    <s v="2-5 Miles"/>
    <x v="2"/>
    <x v="30"/>
    <x v="0"/>
    <x v="0"/>
  </r>
  <r>
    <x v="911"/>
    <s v="Married"/>
    <x v="0"/>
    <x v="2"/>
    <x v="2"/>
    <x v="0"/>
    <x v="4"/>
    <x v="0"/>
    <n v="2"/>
    <s v="5-10 Miles"/>
    <x v="2"/>
    <x v="46"/>
    <x v="1"/>
    <x v="0"/>
  </r>
  <r>
    <x v="912"/>
    <s v="Married"/>
    <x v="0"/>
    <x v="0"/>
    <x v="1"/>
    <x v="1"/>
    <x v="1"/>
    <x v="0"/>
    <n v="1"/>
    <s v="1-2 Miles"/>
    <x v="2"/>
    <x v="21"/>
    <x v="0"/>
    <x v="0"/>
  </r>
  <r>
    <x v="913"/>
    <s v="Single"/>
    <x v="1"/>
    <x v="10"/>
    <x v="4"/>
    <x v="0"/>
    <x v="0"/>
    <x v="0"/>
    <n v="0"/>
    <s v="2-5 Miles"/>
    <x v="2"/>
    <x v="4"/>
    <x v="0"/>
    <x v="1"/>
  </r>
  <r>
    <x v="914"/>
    <s v="Single"/>
    <x v="1"/>
    <x v="2"/>
    <x v="2"/>
    <x v="4"/>
    <x v="0"/>
    <x v="1"/>
    <n v="0"/>
    <s v="0-1 Miles"/>
    <x v="2"/>
    <x v="15"/>
    <x v="0"/>
    <x v="0"/>
  </r>
  <r>
    <x v="915"/>
    <s v="Married"/>
    <x v="1"/>
    <x v="10"/>
    <x v="1"/>
    <x v="4"/>
    <x v="4"/>
    <x v="0"/>
    <n v="2"/>
    <s v="10+ Miles"/>
    <x v="2"/>
    <x v="46"/>
    <x v="1"/>
    <x v="0"/>
  </r>
  <r>
    <x v="916"/>
    <s v="Single"/>
    <x v="1"/>
    <x v="3"/>
    <x v="1"/>
    <x v="4"/>
    <x v="2"/>
    <x v="1"/>
    <n v="0"/>
    <s v="0-1 Miles"/>
    <x v="2"/>
    <x v="11"/>
    <x v="0"/>
    <x v="1"/>
  </r>
  <r>
    <x v="917"/>
    <s v="Single"/>
    <x v="1"/>
    <x v="15"/>
    <x v="1"/>
    <x v="0"/>
    <x v="4"/>
    <x v="0"/>
    <n v="4"/>
    <s v="2-5 Miles"/>
    <x v="2"/>
    <x v="8"/>
    <x v="0"/>
    <x v="1"/>
  </r>
  <r>
    <x v="918"/>
    <s v="Married"/>
    <x v="0"/>
    <x v="3"/>
    <x v="3"/>
    <x v="1"/>
    <x v="0"/>
    <x v="0"/>
    <n v="2"/>
    <s v="5-10 Miles"/>
    <x v="2"/>
    <x v="17"/>
    <x v="0"/>
    <x v="1"/>
  </r>
  <r>
    <x v="919"/>
    <s v="Married"/>
    <x v="0"/>
    <x v="0"/>
    <x v="5"/>
    <x v="2"/>
    <x v="2"/>
    <x v="0"/>
    <n v="2"/>
    <s v="10+ Miles"/>
    <x v="2"/>
    <x v="33"/>
    <x v="1"/>
    <x v="0"/>
  </r>
  <r>
    <x v="920"/>
    <s v="Married"/>
    <x v="1"/>
    <x v="1"/>
    <x v="4"/>
    <x v="2"/>
    <x v="0"/>
    <x v="0"/>
    <n v="2"/>
    <s v="1-2 Miles"/>
    <x v="2"/>
    <x v="36"/>
    <x v="0"/>
    <x v="0"/>
  </r>
  <r>
    <x v="921"/>
    <s v="Single"/>
    <x v="0"/>
    <x v="3"/>
    <x v="1"/>
    <x v="1"/>
    <x v="2"/>
    <x v="0"/>
    <n v="1"/>
    <s v="5-10 Miles"/>
    <x v="2"/>
    <x v="38"/>
    <x v="0"/>
    <x v="1"/>
  </r>
  <r>
    <x v="922"/>
    <s v="Married"/>
    <x v="0"/>
    <x v="0"/>
    <x v="1"/>
    <x v="1"/>
    <x v="2"/>
    <x v="1"/>
    <n v="2"/>
    <s v="1-2 Miles"/>
    <x v="2"/>
    <x v="9"/>
    <x v="0"/>
    <x v="1"/>
  </r>
  <r>
    <x v="923"/>
    <s v="Single"/>
    <x v="1"/>
    <x v="3"/>
    <x v="1"/>
    <x v="4"/>
    <x v="4"/>
    <x v="1"/>
    <n v="2"/>
    <s v="1-2 Miles"/>
    <x v="2"/>
    <x v="39"/>
    <x v="0"/>
    <x v="1"/>
  </r>
  <r>
    <x v="924"/>
    <s v="Single"/>
    <x v="1"/>
    <x v="8"/>
    <x v="4"/>
    <x v="1"/>
    <x v="2"/>
    <x v="0"/>
    <n v="1"/>
    <s v="2-5 Miles"/>
    <x v="2"/>
    <x v="28"/>
    <x v="0"/>
    <x v="1"/>
  </r>
  <r>
    <x v="925"/>
    <s v="Single"/>
    <x v="0"/>
    <x v="14"/>
    <x v="3"/>
    <x v="4"/>
    <x v="0"/>
    <x v="0"/>
    <n v="0"/>
    <s v="1-2 Miles"/>
    <x v="2"/>
    <x v="6"/>
    <x v="0"/>
    <x v="1"/>
  </r>
  <r>
    <x v="926"/>
    <s v="Single"/>
    <x v="0"/>
    <x v="0"/>
    <x v="4"/>
    <x v="2"/>
    <x v="2"/>
    <x v="0"/>
    <n v="2"/>
    <s v="10+ Miles"/>
    <x v="2"/>
    <x v="42"/>
    <x v="1"/>
    <x v="0"/>
  </r>
  <r>
    <x v="927"/>
    <s v="Married"/>
    <x v="0"/>
    <x v="3"/>
    <x v="3"/>
    <x v="4"/>
    <x v="2"/>
    <x v="0"/>
    <n v="0"/>
    <s v="2-5 Miles"/>
    <x v="2"/>
    <x v="32"/>
    <x v="0"/>
    <x v="0"/>
  </r>
  <r>
    <x v="928"/>
    <s v="Married"/>
    <x v="1"/>
    <x v="10"/>
    <x v="4"/>
    <x v="2"/>
    <x v="2"/>
    <x v="0"/>
    <n v="2"/>
    <s v="5-10 Miles"/>
    <x v="2"/>
    <x v="28"/>
    <x v="0"/>
    <x v="0"/>
  </r>
  <r>
    <x v="929"/>
    <s v="Married"/>
    <x v="1"/>
    <x v="10"/>
    <x v="4"/>
    <x v="2"/>
    <x v="2"/>
    <x v="0"/>
    <n v="2"/>
    <s v="5-10 Miles"/>
    <x v="2"/>
    <x v="5"/>
    <x v="0"/>
    <x v="0"/>
  </r>
  <r>
    <x v="930"/>
    <s v="Married"/>
    <x v="1"/>
    <x v="3"/>
    <x v="2"/>
    <x v="4"/>
    <x v="2"/>
    <x v="1"/>
    <n v="3"/>
    <s v="10+ Miles"/>
    <x v="2"/>
    <x v="15"/>
    <x v="0"/>
    <x v="0"/>
  </r>
  <r>
    <x v="931"/>
    <s v="Married"/>
    <x v="0"/>
    <x v="0"/>
    <x v="0"/>
    <x v="1"/>
    <x v="1"/>
    <x v="0"/>
    <n v="1"/>
    <s v="1-2 Miles"/>
    <x v="2"/>
    <x v="38"/>
    <x v="0"/>
    <x v="1"/>
  </r>
  <r>
    <x v="932"/>
    <s v="Single"/>
    <x v="0"/>
    <x v="0"/>
    <x v="3"/>
    <x v="2"/>
    <x v="0"/>
    <x v="1"/>
    <n v="2"/>
    <s v="0-1 Miles"/>
    <x v="2"/>
    <x v="40"/>
    <x v="2"/>
    <x v="1"/>
  </r>
  <r>
    <x v="933"/>
    <s v="Single"/>
    <x v="1"/>
    <x v="10"/>
    <x v="3"/>
    <x v="1"/>
    <x v="0"/>
    <x v="0"/>
    <n v="0"/>
    <s v="5-10 Miles"/>
    <x v="2"/>
    <x v="19"/>
    <x v="2"/>
    <x v="0"/>
  </r>
  <r>
    <x v="934"/>
    <s v="Married"/>
    <x v="1"/>
    <x v="10"/>
    <x v="4"/>
    <x v="0"/>
    <x v="4"/>
    <x v="0"/>
    <n v="0"/>
    <s v="2-5 Miles"/>
    <x v="2"/>
    <x v="14"/>
    <x v="1"/>
    <x v="0"/>
  </r>
  <r>
    <x v="935"/>
    <s v="Married"/>
    <x v="0"/>
    <x v="10"/>
    <x v="0"/>
    <x v="1"/>
    <x v="0"/>
    <x v="0"/>
    <n v="1"/>
    <s v="0-1 Miles"/>
    <x v="2"/>
    <x v="12"/>
    <x v="0"/>
    <x v="1"/>
  </r>
  <r>
    <x v="936"/>
    <s v="Married"/>
    <x v="0"/>
    <x v="10"/>
    <x v="5"/>
    <x v="0"/>
    <x v="4"/>
    <x v="0"/>
    <n v="2"/>
    <s v="2-5 Miles"/>
    <x v="2"/>
    <x v="2"/>
    <x v="1"/>
    <x v="0"/>
  </r>
  <r>
    <x v="937"/>
    <s v="Married"/>
    <x v="1"/>
    <x v="3"/>
    <x v="5"/>
    <x v="4"/>
    <x v="2"/>
    <x v="0"/>
    <n v="0"/>
    <s v="0-1 Miles"/>
    <x v="2"/>
    <x v="4"/>
    <x v="0"/>
    <x v="1"/>
  </r>
  <r>
    <x v="938"/>
    <s v="Married"/>
    <x v="0"/>
    <x v="0"/>
    <x v="3"/>
    <x v="2"/>
    <x v="0"/>
    <x v="0"/>
    <n v="2"/>
    <s v="5-10 Miles"/>
    <x v="2"/>
    <x v="40"/>
    <x v="2"/>
    <x v="0"/>
  </r>
  <r>
    <x v="939"/>
    <s v="Single"/>
    <x v="1"/>
    <x v="2"/>
    <x v="4"/>
    <x v="3"/>
    <x v="0"/>
    <x v="1"/>
    <n v="2"/>
    <s v="1-2 Miles"/>
    <x v="2"/>
    <x v="5"/>
    <x v="0"/>
    <x v="0"/>
  </r>
  <r>
    <x v="940"/>
    <s v="Single"/>
    <x v="0"/>
    <x v="10"/>
    <x v="0"/>
    <x v="4"/>
    <x v="0"/>
    <x v="0"/>
    <n v="0"/>
    <s v="1-2 Miles"/>
    <x v="2"/>
    <x v="11"/>
    <x v="0"/>
    <x v="0"/>
  </r>
  <r>
    <x v="941"/>
    <s v="Married"/>
    <x v="0"/>
    <x v="10"/>
    <x v="0"/>
    <x v="4"/>
    <x v="0"/>
    <x v="0"/>
    <n v="0"/>
    <s v="2-5 Miles"/>
    <x v="2"/>
    <x v="17"/>
    <x v="0"/>
    <x v="1"/>
  </r>
  <r>
    <x v="942"/>
    <s v="Married"/>
    <x v="0"/>
    <x v="0"/>
    <x v="1"/>
    <x v="1"/>
    <x v="2"/>
    <x v="0"/>
    <n v="2"/>
    <s v="5-10 Miles"/>
    <x v="2"/>
    <x v="9"/>
    <x v="0"/>
    <x v="0"/>
  </r>
  <r>
    <x v="943"/>
    <s v="Married"/>
    <x v="0"/>
    <x v="10"/>
    <x v="5"/>
    <x v="0"/>
    <x v="0"/>
    <x v="1"/>
    <n v="2"/>
    <s v="0-1 Miles"/>
    <x v="2"/>
    <x v="0"/>
    <x v="0"/>
    <x v="0"/>
  </r>
  <r>
    <x v="944"/>
    <s v="Married"/>
    <x v="0"/>
    <x v="14"/>
    <x v="0"/>
    <x v="0"/>
    <x v="0"/>
    <x v="0"/>
    <n v="0"/>
    <s v="2-5 Miles"/>
    <x v="2"/>
    <x v="17"/>
    <x v="0"/>
    <x v="1"/>
  </r>
  <r>
    <x v="945"/>
    <s v="Single"/>
    <x v="1"/>
    <x v="14"/>
    <x v="4"/>
    <x v="0"/>
    <x v="0"/>
    <x v="1"/>
    <n v="1"/>
    <s v="0-1 Miles"/>
    <x v="2"/>
    <x v="13"/>
    <x v="0"/>
    <x v="1"/>
  </r>
  <r>
    <x v="946"/>
    <s v="Married"/>
    <x v="0"/>
    <x v="8"/>
    <x v="2"/>
    <x v="0"/>
    <x v="4"/>
    <x v="0"/>
    <n v="2"/>
    <s v="1-2 Miles"/>
    <x v="2"/>
    <x v="18"/>
    <x v="1"/>
    <x v="1"/>
  </r>
  <r>
    <x v="947"/>
    <s v="Single"/>
    <x v="0"/>
    <x v="8"/>
    <x v="5"/>
    <x v="2"/>
    <x v="2"/>
    <x v="1"/>
    <n v="3"/>
    <s v="1-2 Miles"/>
    <x v="2"/>
    <x v="12"/>
    <x v="0"/>
    <x v="1"/>
  </r>
  <r>
    <x v="948"/>
    <s v="Single"/>
    <x v="0"/>
    <x v="10"/>
    <x v="3"/>
    <x v="4"/>
    <x v="0"/>
    <x v="1"/>
    <n v="0"/>
    <s v="0-1 Miles"/>
    <x v="2"/>
    <x v="8"/>
    <x v="0"/>
    <x v="0"/>
  </r>
  <r>
    <x v="949"/>
    <s v="Married"/>
    <x v="1"/>
    <x v="3"/>
    <x v="4"/>
    <x v="3"/>
    <x v="0"/>
    <x v="0"/>
    <n v="2"/>
    <s v="10+ Miles"/>
    <x v="2"/>
    <x v="39"/>
    <x v="0"/>
    <x v="0"/>
  </r>
  <r>
    <x v="950"/>
    <s v="Single"/>
    <x v="0"/>
    <x v="3"/>
    <x v="0"/>
    <x v="4"/>
    <x v="2"/>
    <x v="0"/>
    <n v="0"/>
    <s v="2-5 Miles"/>
    <x v="2"/>
    <x v="17"/>
    <x v="0"/>
    <x v="0"/>
  </r>
  <r>
    <x v="951"/>
    <s v="Married"/>
    <x v="1"/>
    <x v="3"/>
    <x v="3"/>
    <x v="0"/>
    <x v="2"/>
    <x v="1"/>
    <n v="1"/>
    <s v="0-1 Miles"/>
    <x v="2"/>
    <x v="13"/>
    <x v="0"/>
    <x v="0"/>
  </r>
  <r>
    <x v="952"/>
    <s v="Married"/>
    <x v="0"/>
    <x v="3"/>
    <x v="5"/>
    <x v="0"/>
    <x v="4"/>
    <x v="1"/>
    <n v="1"/>
    <s v="1-2 Miles"/>
    <x v="2"/>
    <x v="14"/>
    <x v="1"/>
    <x v="0"/>
  </r>
  <r>
    <x v="953"/>
    <s v="Single"/>
    <x v="0"/>
    <x v="0"/>
    <x v="1"/>
    <x v="1"/>
    <x v="1"/>
    <x v="0"/>
    <n v="1"/>
    <s v="1-2 Miles"/>
    <x v="2"/>
    <x v="25"/>
    <x v="2"/>
    <x v="1"/>
  </r>
  <r>
    <x v="954"/>
    <s v="Married"/>
    <x v="1"/>
    <x v="10"/>
    <x v="0"/>
    <x v="0"/>
    <x v="2"/>
    <x v="0"/>
    <n v="1"/>
    <s v="0-1 Miles"/>
    <x v="2"/>
    <x v="28"/>
    <x v="0"/>
    <x v="1"/>
  </r>
  <r>
    <x v="955"/>
    <s v="Married"/>
    <x v="0"/>
    <x v="0"/>
    <x v="5"/>
    <x v="2"/>
    <x v="0"/>
    <x v="0"/>
    <n v="2"/>
    <s v="2-5 Miles"/>
    <x v="2"/>
    <x v="1"/>
    <x v="0"/>
    <x v="0"/>
  </r>
  <r>
    <x v="956"/>
    <s v="Married"/>
    <x v="0"/>
    <x v="3"/>
    <x v="5"/>
    <x v="4"/>
    <x v="2"/>
    <x v="0"/>
    <n v="0"/>
    <s v="2-5 Miles"/>
    <x v="2"/>
    <x v="11"/>
    <x v="0"/>
    <x v="1"/>
  </r>
  <r>
    <x v="957"/>
    <s v="Married"/>
    <x v="0"/>
    <x v="10"/>
    <x v="3"/>
    <x v="1"/>
    <x v="2"/>
    <x v="0"/>
    <n v="2"/>
    <s v="5-10 Miles"/>
    <x v="2"/>
    <x v="25"/>
    <x v="2"/>
    <x v="0"/>
  </r>
  <r>
    <x v="958"/>
    <s v="Married"/>
    <x v="1"/>
    <x v="8"/>
    <x v="2"/>
    <x v="4"/>
    <x v="2"/>
    <x v="0"/>
    <n v="0"/>
    <s v="0-1 Miles"/>
    <x v="2"/>
    <x v="15"/>
    <x v="0"/>
    <x v="1"/>
  </r>
  <r>
    <x v="959"/>
    <s v="Married"/>
    <x v="1"/>
    <x v="10"/>
    <x v="0"/>
    <x v="1"/>
    <x v="0"/>
    <x v="0"/>
    <n v="1"/>
    <s v="2-5 Miles"/>
    <x v="2"/>
    <x v="12"/>
    <x v="0"/>
    <x v="1"/>
  </r>
  <r>
    <x v="960"/>
    <s v="Single"/>
    <x v="1"/>
    <x v="11"/>
    <x v="3"/>
    <x v="1"/>
    <x v="2"/>
    <x v="1"/>
    <n v="4"/>
    <s v="1-2 Miles"/>
    <x v="2"/>
    <x v="12"/>
    <x v="0"/>
    <x v="0"/>
  </r>
  <r>
    <x v="961"/>
    <s v="Married"/>
    <x v="0"/>
    <x v="7"/>
    <x v="4"/>
    <x v="0"/>
    <x v="4"/>
    <x v="0"/>
    <n v="3"/>
    <s v="5-10 Miles"/>
    <x v="2"/>
    <x v="24"/>
    <x v="1"/>
    <x v="0"/>
  </r>
  <r>
    <x v="962"/>
    <s v="Married"/>
    <x v="1"/>
    <x v="10"/>
    <x v="4"/>
    <x v="1"/>
    <x v="2"/>
    <x v="0"/>
    <n v="2"/>
    <s v="10+ Miles"/>
    <x v="2"/>
    <x v="10"/>
    <x v="1"/>
    <x v="0"/>
  </r>
  <r>
    <x v="963"/>
    <s v="Married"/>
    <x v="0"/>
    <x v="8"/>
    <x v="2"/>
    <x v="0"/>
    <x v="4"/>
    <x v="0"/>
    <n v="2"/>
    <s v="1-2 Miles"/>
    <x v="2"/>
    <x v="29"/>
    <x v="1"/>
    <x v="1"/>
  </r>
  <r>
    <x v="964"/>
    <s v="Single"/>
    <x v="1"/>
    <x v="3"/>
    <x v="5"/>
    <x v="1"/>
    <x v="2"/>
    <x v="0"/>
    <n v="1"/>
    <s v="10+ Miles"/>
    <x v="2"/>
    <x v="16"/>
    <x v="1"/>
    <x v="0"/>
  </r>
  <r>
    <x v="965"/>
    <s v="Single"/>
    <x v="0"/>
    <x v="14"/>
    <x v="1"/>
    <x v="0"/>
    <x v="0"/>
    <x v="1"/>
    <n v="1"/>
    <s v="0-1 Miles"/>
    <x v="2"/>
    <x v="8"/>
    <x v="0"/>
    <x v="0"/>
  </r>
  <r>
    <x v="966"/>
    <s v="Married"/>
    <x v="0"/>
    <x v="14"/>
    <x v="3"/>
    <x v="4"/>
    <x v="0"/>
    <x v="0"/>
    <n v="0"/>
    <s v="1-2 Miles"/>
    <x v="2"/>
    <x v="6"/>
    <x v="0"/>
    <x v="1"/>
  </r>
  <r>
    <x v="967"/>
    <s v="Married"/>
    <x v="1"/>
    <x v="2"/>
    <x v="1"/>
    <x v="0"/>
    <x v="4"/>
    <x v="0"/>
    <n v="1"/>
    <s v="1-2 Miles"/>
    <x v="2"/>
    <x v="16"/>
    <x v="1"/>
    <x v="0"/>
  </r>
  <r>
    <x v="968"/>
    <s v="Single"/>
    <x v="1"/>
    <x v="1"/>
    <x v="3"/>
    <x v="3"/>
    <x v="1"/>
    <x v="1"/>
    <n v="2"/>
    <s v="5-10 Miles"/>
    <x v="2"/>
    <x v="40"/>
    <x v="2"/>
    <x v="0"/>
  </r>
  <r>
    <x v="969"/>
    <s v="Married"/>
    <x v="1"/>
    <x v="10"/>
    <x v="3"/>
    <x v="4"/>
    <x v="2"/>
    <x v="1"/>
    <n v="0"/>
    <s v="0-1 Miles"/>
    <x v="2"/>
    <x v="32"/>
    <x v="0"/>
    <x v="0"/>
  </r>
  <r>
    <x v="970"/>
    <s v="Married"/>
    <x v="0"/>
    <x v="10"/>
    <x v="3"/>
    <x v="1"/>
    <x v="0"/>
    <x v="0"/>
    <n v="2"/>
    <s v="5-10 Miles"/>
    <x v="2"/>
    <x v="23"/>
    <x v="0"/>
    <x v="0"/>
  </r>
  <r>
    <x v="971"/>
    <s v="Single"/>
    <x v="0"/>
    <x v="10"/>
    <x v="4"/>
    <x v="3"/>
    <x v="0"/>
    <x v="1"/>
    <n v="2"/>
    <s v="1-2 Miles"/>
    <x v="2"/>
    <x v="36"/>
    <x v="0"/>
    <x v="0"/>
  </r>
  <r>
    <x v="972"/>
    <s v="Married"/>
    <x v="0"/>
    <x v="1"/>
    <x v="0"/>
    <x v="2"/>
    <x v="1"/>
    <x v="0"/>
    <n v="1"/>
    <s v="5-10 Miles"/>
    <x v="2"/>
    <x v="31"/>
    <x v="0"/>
    <x v="0"/>
  </r>
  <r>
    <x v="973"/>
    <s v="Married"/>
    <x v="1"/>
    <x v="10"/>
    <x v="0"/>
    <x v="1"/>
    <x v="0"/>
    <x v="1"/>
    <n v="1"/>
    <s v="0-1 Miles"/>
    <x v="2"/>
    <x v="15"/>
    <x v="0"/>
    <x v="0"/>
  </r>
  <r>
    <x v="974"/>
    <s v="Married"/>
    <x v="1"/>
    <x v="3"/>
    <x v="1"/>
    <x v="4"/>
    <x v="4"/>
    <x v="0"/>
    <n v="2"/>
    <s v="5-10 Miles"/>
    <x v="2"/>
    <x v="39"/>
    <x v="0"/>
    <x v="1"/>
  </r>
  <r>
    <x v="975"/>
    <s v="Married"/>
    <x v="1"/>
    <x v="3"/>
    <x v="1"/>
    <x v="4"/>
    <x v="2"/>
    <x v="0"/>
    <n v="0"/>
    <s v="0-1 Miles"/>
    <x v="2"/>
    <x v="11"/>
    <x v="0"/>
    <x v="1"/>
  </r>
  <r>
    <x v="976"/>
    <s v="Married"/>
    <x v="0"/>
    <x v="10"/>
    <x v="1"/>
    <x v="0"/>
    <x v="4"/>
    <x v="0"/>
    <n v="2"/>
    <s v="10+ Miles"/>
    <x v="2"/>
    <x v="29"/>
    <x v="1"/>
    <x v="0"/>
  </r>
  <r>
    <x v="977"/>
    <s v="Single"/>
    <x v="0"/>
    <x v="2"/>
    <x v="5"/>
    <x v="4"/>
    <x v="4"/>
    <x v="0"/>
    <n v="2"/>
    <s v="5-10 Miles"/>
    <x v="2"/>
    <x v="27"/>
    <x v="1"/>
    <x v="0"/>
  </r>
  <r>
    <x v="978"/>
    <s v="Married"/>
    <x v="1"/>
    <x v="2"/>
    <x v="2"/>
    <x v="1"/>
    <x v="2"/>
    <x v="0"/>
    <n v="3"/>
    <s v="5-10 Miles"/>
    <x v="2"/>
    <x v="12"/>
    <x v="0"/>
    <x v="0"/>
  </r>
  <r>
    <x v="979"/>
    <s v="Single"/>
    <x v="1"/>
    <x v="0"/>
    <x v="3"/>
    <x v="2"/>
    <x v="0"/>
    <x v="0"/>
    <n v="1"/>
    <s v="5-10 Miles"/>
    <x v="2"/>
    <x v="23"/>
    <x v="0"/>
    <x v="0"/>
  </r>
  <r>
    <x v="980"/>
    <s v="Single"/>
    <x v="0"/>
    <x v="2"/>
    <x v="1"/>
    <x v="0"/>
    <x v="0"/>
    <x v="0"/>
    <n v="3"/>
    <s v="10+ Miles"/>
    <x v="2"/>
    <x v="8"/>
    <x v="0"/>
    <x v="1"/>
  </r>
  <r>
    <x v="981"/>
    <s v="Married"/>
    <x v="1"/>
    <x v="15"/>
    <x v="2"/>
    <x v="1"/>
    <x v="2"/>
    <x v="0"/>
    <n v="4"/>
    <s v="2-5 Miles"/>
    <x v="2"/>
    <x v="30"/>
    <x v="0"/>
    <x v="0"/>
  </r>
  <r>
    <x v="982"/>
    <s v="Single"/>
    <x v="1"/>
    <x v="0"/>
    <x v="4"/>
    <x v="1"/>
    <x v="1"/>
    <x v="1"/>
    <n v="1"/>
    <s v="1-2 Miles"/>
    <x v="2"/>
    <x v="15"/>
    <x v="0"/>
    <x v="1"/>
  </r>
  <r>
    <x v="983"/>
    <s v="Married"/>
    <x v="1"/>
    <x v="12"/>
    <x v="4"/>
    <x v="4"/>
    <x v="4"/>
    <x v="0"/>
    <n v="2"/>
    <s v="0-1 Miles"/>
    <x v="2"/>
    <x v="3"/>
    <x v="0"/>
    <x v="0"/>
  </r>
  <r>
    <x v="984"/>
    <s v="Married"/>
    <x v="1"/>
    <x v="10"/>
    <x v="4"/>
    <x v="2"/>
    <x v="2"/>
    <x v="1"/>
    <n v="2"/>
    <s v="1-2 Miles"/>
    <x v="2"/>
    <x v="28"/>
    <x v="0"/>
    <x v="1"/>
  </r>
  <r>
    <x v="985"/>
    <s v="Single"/>
    <x v="0"/>
    <x v="14"/>
    <x v="5"/>
    <x v="0"/>
    <x v="0"/>
    <x v="0"/>
    <n v="2"/>
    <s v="0-1 Miles"/>
    <x v="2"/>
    <x v="0"/>
    <x v="0"/>
    <x v="0"/>
  </r>
  <r>
    <x v="986"/>
    <s v="Single"/>
    <x v="1"/>
    <x v="0"/>
    <x v="2"/>
    <x v="2"/>
    <x v="2"/>
    <x v="0"/>
    <n v="4"/>
    <s v="10+ Miles"/>
    <x v="2"/>
    <x v="2"/>
    <x v="1"/>
    <x v="1"/>
  </r>
  <r>
    <x v="987"/>
    <s v="Single"/>
    <x v="0"/>
    <x v="10"/>
    <x v="1"/>
    <x v="4"/>
    <x v="4"/>
    <x v="0"/>
    <n v="2"/>
    <s v="10+ Miles"/>
    <x v="2"/>
    <x v="29"/>
    <x v="1"/>
    <x v="0"/>
  </r>
  <r>
    <x v="988"/>
    <s v="Married"/>
    <x v="1"/>
    <x v="3"/>
    <x v="2"/>
    <x v="0"/>
    <x v="4"/>
    <x v="0"/>
    <n v="2"/>
    <s v="10+ Miles"/>
    <x v="2"/>
    <x v="18"/>
    <x v="1"/>
    <x v="0"/>
  </r>
  <r>
    <x v="989"/>
    <s v="Married"/>
    <x v="1"/>
    <x v="10"/>
    <x v="5"/>
    <x v="0"/>
    <x v="0"/>
    <x v="1"/>
    <n v="3"/>
    <s v="10+ Miles"/>
    <x v="2"/>
    <x v="0"/>
    <x v="0"/>
    <x v="0"/>
  </r>
  <r>
    <x v="990"/>
    <s v="Single"/>
    <x v="0"/>
    <x v="1"/>
    <x v="3"/>
    <x v="2"/>
    <x v="0"/>
    <x v="1"/>
    <n v="2"/>
    <s v="5-10 Miles"/>
    <x v="2"/>
    <x v="22"/>
    <x v="2"/>
    <x v="0"/>
  </r>
  <r>
    <x v="991"/>
    <s v="Single"/>
    <x v="0"/>
    <x v="10"/>
    <x v="0"/>
    <x v="4"/>
    <x v="2"/>
    <x v="0"/>
    <n v="0"/>
    <s v="2-5 Miles"/>
    <x v="2"/>
    <x v="4"/>
    <x v="0"/>
    <x v="1"/>
  </r>
  <r>
    <x v="992"/>
    <s v="Married"/>
    <x v="1"/>
    <x v="8"/>
    <x v="4"/>
    <x v="1"/>
    <x v="2"/>
    <x v="1"/>
    <n v="0"/>
    <s v="5-10 Miles"/>
    <x v="2"/>
    <x v="38"/>
    <x v="0"/>
    <x v="1"/>
  </r>
  <r>
    <x v="993"/>
    <s v="Single"/>
    <x v="1"/>
    <x v="13"/>
    <x v="0"/>
    <x v="1"/>
    <x v="2"/>
    <x v="1"/>
    <n v="3"/>
    <s v="0-1 Miles"/>
    <x v="2"/>
    <x v="20"/>
    <x v="0"/>
    <x v="1"/>
  </r>
  <r>
    <x v="994"/>
    <s v="Married"/>
    <x v="1"/>
    <x v="2"/>
    <x v="2"/>
    <x v="1"/>
    <x v="2"/>
    <x v="0"/>
    <n v="3"/>
    <s v="1-2 Miles"/>
    <x v="2"/>
    <x v="30"/>
    <x v="0"/>
    <x v="0"/>
  </r>
  <r>
    <x v="995"/>
    <s v="Married"/>
    <x v="1"/>
    <x v="10"/>
    <x v="4"/>
    <x v="2"/>
    <x v="2"/>
    <x v="0"/>
    <n v="2"/>
    <s v="2-5 Miles"/>
    <x v="2"/>
    <x v="9"/>
    <x v="0"/>
    <x v="1"/>
  </r>
  <r>
    <x v="996"/>
    <s v="Single"/>
    <x v="1"/>
    <x v="3"/>
    <x v="5"/>
    <x v="4"/>
    <x v="2"/>
    <x v="0"/>
    <n v="0"/>
    <s v="2-5 Miles"/>
    <x v="2"/>
    <x v="11"/>
    <x v="0"/>
    <x v="1"/>
  </r>
  <r>
    <x v="997"/>
    <s v="Married"/>
    <x v="1"/>
    <x v="10"/>
    <x v="4"/>
    <x v="0"/>
    <x v="0"/>
    <x v="0"/>
    <n v="0"/>
    <s v="0-1 Miles"/>
    <x v="2"/>
    <x v="13"/>
    <x v="0"/>
    <x v="1"/>
  </r>
  <r>
    <x v="998"/>
    <s v="Single"/>
    <x v="1"/>
    <x v="11"/>
    <x v="1"/>
    <x v="0"/>
    <x v="4"/>
    <x v="1"/>
    <n v="3"/>
    <s v="1-2 Miles"/>
    <x v="2"/>
    <x v="13"/>
    <x v="0"/>
    <x v="0"/>
  </r>
  <r>
    <x v="999"/>
    <s v="Single"/>
    <x v="1"/>
    <x v="10"/>
    <x v="1"/>
    <x v="2"/>
    <x v="2"/>
    <x v="0"/>
    <n v="2"/>
    <s v="10+ Miles"/>
    <x v="2"/>
    <x v="39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Bachelors"/>
    <s v="Skilled Manual"/>
    <s v="Yes"/>
    <n v="0"/>
    <s v="0-1 Miles"/>
    <s v="Europe"/>
    <x v="0"/>
    <x v="0"/>
    <s v="No"/>
  </r>
  <r>
    <n v="3"/>
    <s v="Partial College"/>
    <s v="Clerical"/>
    <s v="Yes"/>
    <n v="1"/>
    <s v="0-1 Miles"/>
    <s v="Europe"/>
    <x v="1"/>
    <x v="0"/>
    <s v="No"/>
  </r>
  <r>
    <n v="5"/>
    <s v="Partial College"/>
    <s v="Professional"/>
    <s v="No"/>
    <n v="2"/>
    <s v="2-5 Miles"/>
    <s v="Europe"/>
    <x v="2"/>
    <x v="1"/>
    <s v="No"/>
  </r>
  <r>
    <n v="0"/>
    <s v="Bachelors"/>
    <s v="Professional"/>
    <s v="Yes"/>
    <n v="1"/>
    <s v="5-10 Miles"/>
    <s v="Pacific"/>
    <x v="3"/>
    <x v="0"/>
    <s v="Yes"/>
  </r>
  <r>
    <n v="0"/>
    <s v="Bachelors"/>
    <s v="Clerical"/>
    <s v="No"/>
    <n v="0"/>
    <s v="0-1 Miles"/>
    <s v="Europe"/>
    <x v="4"/>
    <x v="0"/>
    <s v="Yes"/>
  </r>
  <r>
    <n v="2"/>
    <s v="Partial College"/>
    <s v="Manual"/>
    <s v="Yes"/>
    <n v="0"/>
    <s v="1-2 Miles"/>
    <s v="Europe"/>
    <x v="5"/>
    <x v="0"/>
    <s v="No"/>
  </r>
  <r>
    <n v="2"/>
    <s v="High School"/>
    <s v="Management"/>
    <s v="Yes"/>
    <n v="4"/>
    <s v="0-1 Miles"/>
    <s v="Pacific"/>
    <x v="6"/>
    <x v="0"/>
    <s v="Yes"/>
  </r>
  <r>
    <n v="1"/>
    <s v="Bachelors"/>
    <s v="Skilled Manual"/>
    <s v="Yes"/>
    <n v="0"/>
    <s v="0-1 Miles"/>
    <s v="Europe"/>
    <x v="1"/>
    <x v="0"/>
    <s v="Yes"/>
  </r>
  <r>
    <n v="2"/>
    <s v="Partial High School"/>
    <s v="Clerical"/>
    <s v="Yes"/>
    <n v="2"/>
    <s v="5-10 Miles"/>
    <s v="Pacific"/>
    <x v="7"/>
    <x v="1"/>
    <s v="No"/>
  </r>
  <r>
    <n v="2"/>
    <s v="Partial College"/>
    <s v="Manual"/>
    <s v="Yes"/>
    <n v="1"/>
    <s v="0-1 Miles"/>
    <s v="Europe"/>
    <x v="8"/>
    <x v="0"/>
    <s v="Yes"/>
  </r>
  <r>
    <n v="3"/>
    <s v="High School"/>
    <s v="Skilled Manual"/>
    <s v="No"/>
    <n v="2"/>
    <s v="1-2 Miles"/>
    <s v="Pacific"/>
    <x v="9"/>
    <x v="0"/>
    <s v="Yes"/>
  </r>
  <r>
    <n v="0"/>
    <s v="Bachelors"/>
    <s v="Professional"/>
    <s v="No"/>
    <n v="4"/>
    <s v="10+ Miles"/>
    <s v="Pacific"/>
    <x v="4"/>
    <x v="0"/>
    <s v="No"/>
  </r>
  <r>
    <n v="5"/>
    <s v="Partial College"/>
    <s v="Professional"/>
    <s v="Yes"/>
    <n v="0"/>
    <s v="0-1 Miles"/>
    <s v="Europe"/>
    <x v="10"/>
    <x v="1"/>
    <s v="No"/>
  </r>
  <r>
    <n v="2"/>
    <s v="Partial College"/>
    <s v="Clerical"/>
    <s v="Yes"/>
    <n v="1"/>
    <s v="1-2 Miles"/>
    <s v="Europe"/>
    <x v="11"/>
    <x v="0"/>
    <s v="Yes"/>
  </r>
  <r>
    <n v="1"/>
    <s v="Partial College"/>
    <s v="Skilled Manual"/>
    <s v="No"/>
    <n v="1"/>
    <s v="0-1 Miles"/>
    <s v="Pacific"/>
    <x v="12"/>
    <x v="0"/>
    <s v="Yes"/>
  </r>
  <r>
    <n v="2"/>
    <s v="High School"/>
    <s v="Manual"/>
    <s v="Yes"/>
    <n v="1"/>
    <s v="0-1 Miles"/>
    <s v="Europe"/>
    <x v="13"/>
    <x v="0"/>
    <s v="Yes"/>
  </r>
  <r>
    <n v="3"/>
    <s v="Partial College"/>
    <s v="Clerical"/>
    <s v="No"/>
    <n v="2"/>
    <s v="1-2 Miles"/>
    <s v="Pacific"/>
    <x v="14"/>
    <x v="1"/>
    <s v="Yes"/>
  </r>
  <r>
    <n v="1"/>
    <s v="Bachelors"/>
    <s v="Clerical"/>
    <s v="Yes"/>
    <n v="0"/>
    <s v="0-1 Miles"/>
    <s v="Europe"/>
    <x v="15"/>
    <x v="0"/>
    <s v="No"/>
  </r>
  <r>
    <n v="2"/>
    <s v="Partial College"/>
    <s v="Clerical"/>
    <s v="Yes"/>
    <n v="1"/>
    <s v="1-2 Miles"/>
    <s v="Europe"/>
    <x v="11"/>
    <x v="0"/>
    <s v="Yes"/>
  </r>
  <r>
    <n v="2"/>
    <s v="Partial High School"/>
    <s v="Clerical"/>
    <s v="Yes"/>
    <n v="2"/>
    <s v="5-10 Miles"/>
    <s v="Pacific"/>
    <x v="10"/>
    <x v="1"/>
    <s v="Yes"/>
  </r>
  <r>
    <n v="0"/>
    <s v="Graduate Degree"/>
    <s v="Clerical"/>
    <s v="Yes"/>
    <n v="0"/>
    <s v="0-1 Miles"/>
    <s v="Europe"/>
    <x v="4"/>
    <x v="0"/>
    <s v="Yes"/>
  </r>
  <r>
    <n v="0"/>
    <s v="Bachelors"/>
    <s v="Professional"/>
    <s v="Yes"/>
    <n v="4"/>
    <s v="10+ Miles"/>
    <s v="Pacific"/>
    <x v="11"/>
    <x v="0"/>
    <s v="No"/>
  </r>
  <r>
    <n v="2"/>
    <s v="Partial College"/>
    <s v="Clerical"/>
    <s v="Yes"/>
    <n v="0"/>
    <s v="1-2 Miles"/>
    <s v="Europe"/>
    <x v="11"/>
    <x v="0"/>
    <s v="Yes"/>
  </r>
  <r>
    <n v="5"/>
    <s v="High School"/>
    <s v="Management"/>
    <s v="No"/>
    <n v="3"/>
    <s v="5-10 Miles"/>
    <s v="Europe"/>
    <x v="16"/>
    <x v="1"/>
    <s v="No"/>
  </r>
  <r>
    <n v="2"/>
    <s v="Partial College"/>
    <s v="Clerical"/>
    <s v="No"/>
    <n v="1"/>
    <s v="0-1 Miles"/>
    <s v="Europe"/>
    <x v="17"/>
    <x v="0"/>
    <s v="No"/>
  </r>
  <r>
    <n v="1"/>
    <s v="Bachelors"/>
    <s v="Clerical"/>
    <s v="Yes"/>
    <n v="0"/>
    <s v="0-1 Miles"/>
    <s v="Europe"/>
    <x v="18"/>
    <x v="1"/>
    <s v="No"/>
  </r>
  <r>
    <n v="0"/>
    <s v="Partial College"/>
    <s v="Clerical"/>
    <s v="No"/>
    <n v="1"/>
    <s v="0-1 Miles"/>
    <s v="Europe"/>
    <x v="19"/>
    <x v="2"/>
    <s v="Yes"/>
  </r>
  <r>
    <n v="0"/>
    <s v="Bachelors"/>
    <s v="Professional"/>
    <s v="No"/>
    <n v="1"/>
    <s v="5-10 Miles"/>
    <s v="Pacific"/>
    <x v="8"/>
    <x v="0"/>
    <s v="No"/>
  </r>
  <r>
    <n v="5"/>
    <s v="Partial College"/>
    <s v="Skilled Manual"/>
    <s v="Yes"/>
    <n v="2"/>
    <s v="5-10 Miles"/>
    <s v="Pacific"/>
    <x v="20"/>
    <x v="0"/>
    <s v="No"/>
  </r>
  <r>
    <n v="0"/>
    <s v="Partial High School"/>
    <s v="Manual"/>
    <s v="No"/>
    <n v="2"/>
    <s v="0-1 Miles"/>
    <s v="Europe"/>
    <x v="21"/>
    <x v="0"/>
    <s v="Yes"/>
  </r>
  <r>
    <n v="2"/>
    <s v="Partial College"/>
    <s v="Manual"/>
    <s v="Yes"/>
    <n v="0"/>
    <s v="0-1 Miles"/>
    <s v="Europe"/>
    <x v="18"/>
    <x v="1"/>
    <s v="No"/>
  </r>
  <r>
    <n v="0"/>
    <s v="Partial College"/>
    <s v="Manual"/>
    <s v="No"/>
    <n v="1"/>
    <s v="0-1 Miles"/>
    <s v="Pacific"/>
    <x v="22"/>
    <x v="2"/>
    <s v="Yes"/>
  </r>
  <r>
    <n v="0"/>
    <s v="High School"/>
    <s v="Manual"/>
    <s v="No"/>
    <n v="1"/>
    <s v="5-10 Miles"/>
    <s v="Europe"/>
    <x v="23"/>
    <x v="0"/>
    <s v="No"/>
  </r>
  <r>
    <n v="2"/>
    <s v="High School"/>
    <s v="Skilled Manual"/>
    <s v="No"/>
    <n v="2"/>
    <s v="1-2 Miles"/>
    <s v="Pacific"/>
    <x v="5"/>
    <x v="0"/>
    <s v="Yes"/>
  </r>
  <r>
    <n v="5"/>
    <s v="Partial College"/>
    <s v="Professional"/>
    <s v="No"/>
    <n v="2"/>
    <s v="2-5 Miles"/>
    <s v="Europe"/>
    <x v="24"/>
    <x v="1"/>
    <s v="Yes"/>
  </r>
  <r>
    <n v="5"/>
    <s v="Partial High School"/>
    <s v="Manual"/>
    <s v="No"/>
    <n v="2"/>
    <s v="0-1 Miles"/>
    <s v="Europe"/>
    <x v="3"/>
    <x v="0"/>
    <s v="No"/>
  </r>
  <r>
    <n v="2"/>
    <s v="Partial College"/>
    <s v="Manual"/>
    <s v="Yes"/>
    <n v="1"/>
    <s v="0-1 Miles"/>
    <s v="Europe"/>
    <x v="5"/>
    <x v="0"/>
    <s v="Yes"/>
  </r>
  <r>
    <n v="0"/>
    <s v="Partial College"/>
    <s v="Clerical"/>
    <s v="No"/>
    <n v="1"/>
    <s v="2-5 Miles"/>
    <s v="Europe"/>
    <x v="25"/>
    <x v="2"/>
    <s v="No"/>
  </r>
  <r>
    <n v="0"/>
    <s v="High School"/>
    <s v="Manual"/>
    <s v="No"/>
    <n v="1"/>
    <s v="2-5 Miles"/>
    <s v="Europe"/>
    <x v="26"/>
    <x v="2"/>
    <s v="No"/>
  </r>
  <r>
    <n v="4"/>
    <s v="Partial High School"/>
    <s v="Manual"/>
    <s v="Yes"/>
    <n v="2"/>
    <s v="0-1 Miles"/>
    <s v="Europe"/>
    <x v="8"/>
    <x v="0"/>
    <s v="Yes"/>
  </r>
  <r>
    <n v="2"/>
    <s v="Partial College"/>
    <s v="Clerical"/>
    <s v="No"/>
    <n v="0"/>
    <s v="0-1 Miles"/>
    <s v="Europe"/>
    <x v="1"/>
    <x v="0"/>
    <s v="No"/>
  </r>
  <r>
    <n v="2"/>
    <s v="Bachelors"/>
    <s v="Management"/>
    <s v="Yes"/>
    <n v="2"/>
    <s v="5-10 Miles"/>
    <s v="Pacific"/>
    <x v="27"/>
    <x v="1"/>
    <s v="Yes"/>
  </r>
  <r>
    <n v="1"/>
    <s v="Graduate Degree"/>
    <s v="Manual"/>
    <s v="Yes"/>
    <n v="0"/>
    <s v="0-1 Miles"/>
    <s v="Europe"/>
    <x v="8"/>
    <x v="0"/>
    <s v="No"/>
  </r>
  <r>
    <n v="4"/>
    <s v="Partial College"/>
    <s v="Professional"/>
    <s v="No"/>
    <n v="3"/>
    <s v="5-10 Miles"/>
    <s v="Europe"/>
    <x v="28"/>
    <x v="0"/>
    <s v="Yes"/>
  </r>
  <r>
    <n v="3"/>
    <s v="High School"/>
    <s v="Manual"/>
    <s v="Yes"/>
    <n v="0"/>
    <s v="0-1 Miles"/>
    <s v="Europe"/>
    <x v="3"/>
    <x v="0"/>
    <s v="Yes"/>
  </r>
  <r>
    <n v="1"/>
    <s v="Bachelors"/>
    <s v="Clerical"/>
    <s v="Yes"/>
    <n v="0"/>
    <s v="0-1 Miles"/>
    <s v="Europe"/>
    <x v="29"/>
    <x v="1"/>
    <s v="Yes"/>
  </r>
  <r>
    <n v="1"/>
    <s v="Partial College"/>
    <s v="Skilled Manual"/>
    <s v="Yes"/>
    <n v="1"/>
    <s v="5-10 Miles"/>
    <s v="Pacific"/>
    <x v="30"/>
    <x v="0"/>
    <s v="Yes"/>
  </r>
  <r>
    <n v="2"/>
    <s v="Partial College"/>
    <s v="Skilled Manual"/>
    <s v="Yes"/>
    <n v="2"/>
    <s v="5-10 Miles"/>
    <s v="Pacific"/>
    <x v="31"/>
    <x v="0"/>
    <s v="Yes"/>
  </r>
  <r>
    <n v="2"/>
    <s v="Partial College"/>
    <s v="Clerical"/>
    <s v="No"/>
    <n v="2"/>
    <s v="0-1 Miles"/>
    <s v="Europe"/>
    <x v="0"/>
    <x v="0"/>
    <s v="No"/>
  </r>
  <r>
    <n v="0"/>
    <s v="Bachelors"/>
    <s v="Clerical"/>
    <s v="Yes"/>
    <n v="0"/>
    <s v="0-1 Miles"/>
    <s v="Europe"/>
    <x v="32"/>
    <x v="0"/>
    <s v="Yes"/>
  </r>
  <r>
    <n v="0"/>
    <s v="Partial College"/>
    <s v="Clerical"/>
    <s v="No"/>
    <n v="1"/>
    <s v="0-1 Miles"/>
    <s v="Europe"/>
    <x v="26"/>
    <x v="2"/>
    <s v="No"/>
  </r>
  <r>
    <n v="0"/>
    <s v="Bachelors"/>
    <s v="Professional"/>
    <s v="No"/>
    <n v="4"/>
    <s v="10+ Miles"/>
    <s v="Pacific"/>
    <x v="11"/>
    <x v="0"/>
    <s v="No"/>
  </r>
  <r>
    <n v="1"/>
    <s v="Bachelors"/>
    <s v="Clerical"/>
    <s v="Yes"/>
    <n v="0"/>
    <s v="0-1 Miles"/>
    <s v="Europe"/>
    <x v="27"/>
    <x v="1"/>
    <s v="No"/>
  </r>
  <r>
    <n v="4"/>
    <s v="High School"/>
    <s v="Management"/>
    <s v="No"/>
    <n v="3"/>
    <s v="5-10 Miles"/>
    <s v="Europe"/>
    <x v="16"/>
    <x v="1"/>
    <s v="No"/>
  </r>
  <r>
    <n v="0"/>
    <s v="Bachelors"/>
    <s v="Professional"/>
    <s v="No"/>
    <n v="1"/>
    <s v="5-10 Miles"/>
    <s v="Pacific"/>
    <x v="0"/>
    <x v="0"/>
    <s v="No"/>
  </r>
  <r>
    <n v="4"/>
    <s v="High School"/>
    <s v="Professional"/>
    <s v="Yes"/>
    <n v="2"/>
    <s v="10+ Miles"/>
    <s v="Europe"/>
    <x v="9"/>
    <x v="0"/>
    <s v="No"/>
  </r>
  <r>
    <n v="0"/>
    <s v="Bachelors"/>
    <s v="Clerical"/>
    <s v="Yes"/>
    <n v="0"/>
    <s v="0-1 Miles"/>
    <s v="Europe"/>
    <x v="13"/>
    <x v="0"/>
    <s v="Yes"/>
  </r>
  <r>
    <n v="4"/>
    <s v="Partial College"/>
    <s v="Professional"/>
    <s v="No"/>
    <n v="4"/>
    <s v="5-10 Miles"/>
    <s v="Europe"/>
    <x v="33"/>
    <x v="1"/>
    <s v="Yes"/>
  </r>
  <r>
    <n v="1"/>
    <s v="Bachelors"/>
    <s v="Skilled Manual"/>
    <s v="Yes"/>
    <n v="0"/>
    <s v="0-1 Miles"/>
    <s v="Europe"/>
    <x v="1"/>
    <x v="0"/>
    <s v="Yes"/>
  </r>
  <r>
    <n v="2"/>
    <s v="Bachelors"/>
    <s v="Professional"/>
    <s v="Yes"/>
    <n v="1"/>
    <s v="2-5 Miles"/>
    <s v="Pacific"/>
    <x v="13"/>
    <x v="0"/>
    <s v="Yes"/>
  </r>
  <r>
    <n v="1"/>
    <s v="High School"/>
    <s v="Manual"/>
    <s v="No"/>
    <n v="1"/>
    <s v="1-2 Miles"/>
    <s v="Europe"/>
    <x v="12"/>
    <x v="0"/>
    <s v="No"/>
  </r>
  <r>
    <n v="2"/>
    <s v="High School"/>
    <s v="Manual"/>
    <s v="Yes"/>
    <n v="0"/>
    <s v="0-1 Miles"/>
    <s v="Europe"/>
    <x v="11"/>
    <x v="0"/>
    <s v="No"/>
  </r>
  <r>
    <n v="2"/>
    <s v="Bachelors"/>
    <s v="Management"/>
    <s v="Yes"/>
    <n v="1"/>
    <s v="0-1 Miles"/>
    <s v="Pacific"/>
    <x v="31"/>
    <x v="0"/>
    <s v="Yes"/>
  </r>
  <r>
    <n v="4"/>
    <s v="Bachelors"/>
    <s v="Professional"/>
    <s v="Yes"/>
    <n v="3"/>
    <s v="10+ Miles"/>
    <s v="Pacific"/>
    <x v="3"/>
    <x v="0"/>
    <s v="No"/>
  </r>
  <r>
    <n v="1"/>
    <s v="Bachelors"/>
    <s v="Clerical"/>
    <s v="Yes"/>
    <n v="0"/>
    <s v="0-1 Miles"/>
    <s v="Europe"/>
    <x v="34"/>
    <x v="0"/>
    <s v="Yes"/>
  </r>
  <r>
    <n v="2"/>
    <s v="Partial College"/>
    <s v="Clerical"/>
    <s v="Yes"/>
    <n v="2"/>
    <s v="5-10 Miles"/>
    <s v="Pacific"/>
    <x v="35"/>
    <x v="1"/>
    <s v="No"/>
  </r>
  <r>
    <n v="0"/>
    <s v="Graduate Degree"/>
    <s v="Clerical"/>
    <s v="Yes"/>
    <n v="0"/>
    <s v="0-1 Miles"/>
    <s v="Europe"/>
    <x v="34"/>
    <x v="0"/>
    <s v="Yes"/>
  </r>
  <r>
    <n v="0"/>
    <s v="High School"/>
    <s v="Manual"/>
    <s v="Yes"/>
    <n v="1"/>
    <s v="2-5 Miles"/>
    <s v="Europe"/>
    <x v="6"/>
    <x v="0"/>
    <s v="Yes"/>
  </r>
  <r>
    <n v="4"/>
    <s v="High School"/>
    <s v="Manual"/>
    <s v="Yes"/>
    <n v="1"/>
    <s v="0-1 Miles"/>
    <s v="Europe"/>
    <x v="1"/>
    <x v="0"/>
    <s v="Yes"/>
  </r>
  <r>
    <n v="0"/>
    <s v="Partial High School"/>
    <s v="Manual"/>
    <s v="No"/>
    <n v="2"/>
    <s v="0-1 Miles"/>
    <s v="Europe"/>
    <x v="25"/>
    <x v="2"/>
    <s v="No"/>
  </r>
  <r>
    <n v="0"/>
    <s v="Partial High School"/>
    <s v="Professional"/>
    <s v="Yes"/>
    <n v="4"/>
    <s v="10+ Miles"/>
    <s v="Pacific"/>
    <x v="4"/>
    <x v="0"/>
    <s v="Yes"/>
  </r>
  <r>
    <n v="0"/>
    <s v="Partial High School"/>
    <s v="Manual"/>
    <s v="No"/>
    <n v="2"/>
    <s v="0-1 Miles"/>
    <s v="Europe"/>
    <x v="11"/>
    <x v="0"/>
    <s v="No"/>
  </r>
  <r>
    <n v="3"/>
    <s v="High School"/>
    <s v="Professional"/>
    <s v="Yes"/>
    <n v="4"/>
    <s v="0-1 Miles"/>
    <s v="Europe"/>
    <x v="31"/>
    <x v="0"/>
    <s v="No"/>
  </r>
  <r>
    <n v="0"/>
    <s v="Partial College"/>
    <s v="Manual"/>
    <s v="No"/>
    <n v="1"/>
    <s v="2-5 Miles"/>
    <s v="Europe"/>
    <x v="4"/>
    <x v="0"/>
    <s v="Yes"/>
  </r>
  <r>
    <n v="3"/>
    <s v="High School"/>
    <s v="Skilled Manual"/>
    <s v="No"/>
    <n v="2"/>
    <s v="1-2 Miles"/>
    <s v="Pacific"/>
    <x v="24"/>
    <x v="1"/>
    <s v="No"/>
  </r>
  <r>
    <n v="4"/>
    <s v="High School"/>
    <s v="Management"/>
    <s v="Yes"/>
    <n v="4"/>
    <s v="0-1 Miles"/>
    <s v="Pacific"/>
    <x v="23"/>
    <x v="0"/>
    <s v="No"/>
  </r>
  <r>
    <n v="0"/>
    <s v="Partial High School"/>
    <s v="Manual"/>
    <s v="No"/>
    <n v="2"/>
    <s v="1-2 Miles"/>
    <s v="Europe"/>
    <x v="22"/>
    <x v="2"/>
    <s v="No"/>
  </r>
  <r>
    <n v="0"/>
    <s v="Bachelors"/>
    <s v="Professional"/>
    <s v="Yes"/>
    <n v="2"/>
    <s v="10+ Miles"/>
    <s v="Pacific"/>
    <x v="19"/>
    <x v="2"/>
    <s v="Yes"/>
  </r>
  <r>
    <n v="2"/>
    <s v="High School"/>
    <s v="Skilled Manual"/>
    <s v="No"/>
    <n v="2"/>
    <s v="1-2 Miles"/>
    <s v="Pacific"/>
    <x v="5"/>
    <x v="0"/>
    <s v="Yes"/>
  </r>
  <r>
    <n v="2"/>
    <s v="Bachelors"/>
    <s v="Management"/>
    <s v="Yes"/>
    <n v="2"/>
    <s v="5-10 Miles"/>
    <s v="Pacific"/>
    <x v="18"/>
    <x v="1"/>
    <s v="Yes"/>
  </r>
  <r>
    <n v="4"/>
    <s v="Graduate Degree"/>
    <s v="Clerical"/>
    <s v="Yes"/>
    <n v="0"/>
    <s v="0-1 Miles"/>
    <s v="Europe"/>
    <x v="12"/>
    <x v="0"/>
    <s v="Yes"/>
  </r>
  <r>
    <n v="4"/>
    <s v="Partial High School"/>
    <s v="Manual"/>
    <s v="Yes"/>
    <n v="2"/>
    <s v="0-1 Miles"/>
    <s v="Europe"/>
    <x v="8"/>
    <x v="0"/>
    <s v="No"/>
  </r>
  <r>
    <n v="0"/>
    <s v="Bachelors"/>
    <s v="Clerical"/>
    <s v="Yes"/>
    <n v="0"/>
    <s v="0-1 Miles"/>
    <s v="Europe"/>
    <x v="15"/>
    <x v="0"/>
    <s v="Yes"/>
  </r>
  <r>
    <n v="0"/>
    <s v="High School"/>
    <s v="Manual"/>
    <s v="No"/>
    <n v="1"/>
    <s v="2-5 Miles"/>
    <s v="Europe"/>
    <x v="19"/>
    <x v="2"/>
    <s v="No"/>
  </r>
  <r>
    <n v="2"/>
    <s v="Bachelors"/>
    <s v="Management"/>
    <s v="No"/>
    <n v="1"/>
    <s v="5-10 Miles"/>
    <s v="Pacific"/>
    <x v="31"/>
    <x v="0"/>
    <s v="Yes"/>
  </r>
  <r>
    <n v="0"/>
    <s v="Partial College"/>
    <s v="Manual"/>
    <s v="Yes"/>
    <n v="1"/>
    <s v="1-2 Miles"/>
    <s v="Pacific"/>
    <x v="22"/>
    <x v="2"/>
    <s v="Yes"/>
  </r>
  <r>
    <n v="3"/>
    <s v="Partial College"/>
    <s v="Professional"/>
    <s v="No"/>
    <n v="3"/>
    <s v="0-1 Miles"/>
    <s v="Europe"/>
    <x v="36"/>
    <x v="0"/>
    <s v="Yes"/>
  </r>
  <r>
    <n v="5"/>
    <s v="Bachelors"/>
    <s v="Professional"/>
    <s v="Yes"/>
    <n v="4"/>
    <s v="1-2 Miles"/>
    <s v="Pacific"/>
    <x v="8"/>
    <x v="0"/>
    <s v="No"/>
  </r>
  <r>
    <n v="0"/>
    <s v="Partial College"/>
    <s v="Clerical"/>
    <s v="No"/>
    <n v="1"/>
    <s v="2-5 Miles"/>
    <s v="Europe"/>
    <x v="19"/>
    <x v="2"/>
    <s v="No"/>
  </r>
  <r>
    <n v="1"/>
    <s v="High School"/>
    <s v="Manual"/>
    <s v="No"/>
    <n v="1"/>
    <s v="1-2 Miles"/>
    <s v="Europe"/>
    <x v="8"/>
    <x v="0"/>
    <s v="Yes"/>
  </r>
  <r>
    <n v="0"/>
    <s v="Partial College"/>
    <s v="Clerical"/>
    <s v="No"/>
    <n v="1"/>
    <s v="0-1 Miles"/>
    <s v="Europe"/>
    <x v="19"/>
    <x v="2"/>
    <s v="Yes"/>
  </r>
  <r>
    <n v="0"/>
    <s v="Partial College"/>
    <s v="Clerical"/>
    <s v="No"/>
    <n v="1"/>
    <s v="0-1 Miles"/>
    <s v="Europe"/>
    <x v="25"/>
    <x v="2"/>
    <s v="Yes"/>
  </r>
  <r>
    <n v="2"/>
    <s v="Bachelors"/>
    <s v="Professional"/>
    <s v="Yes"/>
    <n v="1"/>
    <s v="2-5 Miles"/>
    <s v="Pacific"/>
    <x v="34"/>
    <x v="0"/>
    <s v="Yes"/>
  </r>
  <r>
    <n v="0"/>
    <s v="Partial College"/>
    <s v="Clerical"/>
    <s v="No"/>
    <n v="1"/>
    <s v="2-5 Miles"/>
    <s v="Europe"/>
    <x v="6"/>
    <x v="0"/>
    <s v="No"/>
  </r>
  <r>
    <n v="3"/>
    <s v="High School"/>
    <s v="Skilled Manual"/>
    <s v="Yes"/>
    <n v="2"/>
    <s v="5-10 Miles"/>
    <s v="Pacific"/>
    <x v="10"/>
    <x v="1"/>
    <s v="No"/>
  </r>
  <r>
    <n v="5"/>
    <s v="Partial College"/>
    <s v="Professional"/>
    <s v="Yes"/>
    <n v="2"/>
    <s v="10+ Miles"/>
    <s v="Europe"/>
    <x v="24"/>
    <x v="1"/>
    <s v="No"/>
  </r>
  <r>
    <n v="1"/>
    <s v="Partial College"/>
    <s v="Clerical"/>
    <s v="Yes"/>
    <n v="1"/>
    <s v="0-1 Miles"/>
    <s v="Europe"/>
    <x v="1"/>
    <x v="0"/>
    <s v="No"/>
  </r>
  <r>
    <n v="1"/>
    <s v="Bachelors"/>
    <s v="Skilled Manual"/>
    <s v="Yes"/>
    <n v="1"/>
    <s v="0-1 Miles"/>
    <s v="Europe"/>
    <x v="20"/>
    <x v="0"/>
    <s v="Yes"/>
  </r>
  <r>
    <n v="0"/>
    <s v="Graduate Degree"/>
    <s v="Clerical"/>
    <s v="Yes"/>
    <n v="0"/>
    <s v="0-1 Miles"/>
    <s v="Europe"/>
    <x v="37"/>
    <x v="2"/>
    <s v="Yes"/>
  </r>
  <r>
    <n v="3"/>
    <s v="High School"/>
    <s v="Manual"/>
    <s v="Yes"/>
    <n v="2"/>
    <s v="0-1 Miles"/>
    <s v="Europe"/>
    <x v="1"/>
    <x v="0"/>
    <s v="No"/>
  </r>
  <r>
    <n v="2"/>
    <s v="High School"/>
    <s v="Manual"/>
    <s v="Yes"/>
    <n v="0"/>
    <s v="0-1 Miles"/>
    <s v="Europe"/>
    <x v="11"/>
    <x v="0"/>
    <s v="No"/>
  </r>
  <r>
    <n v="3"/>
    <s v="Bachelors"/>
    <s v="Professional"/>
    <s v="No"/>
    <n v="2"/>
    <s v="0-1 Miles"/>
    <s v="Pacific"/>
    <x v="1"/>
    <x v="0"/>
    <s v="Yes"/>
  </r>
  <r>
    <n v="2"/>
    <s v="Partial College"/>
    <s v="Manual"/>
    <s v="Yes"/>
    <n v="0"/>
    <s v="1-2 Miles"/>
    <s v="Europe"/>
    <x v="38"/>
    <x v="0"/>
    <s v="No"/>
  </r>
  <r>
    <n v="1"/>
    <s v="Partial College"/>
    <s v="Skilled Manual"/>
    <s v="Yes"/>
    <n v="1"/>
    <s v="5-10 Miles"/>
    <s v="Pacific"/>
    <x v="12"/>
    <x v="0"/>
    <s v="No"/>
  </r>
  <r>
    <n v="2"/>
    <s v="High School"/>
    <s v="Professional"/>
    <s v="Yes"/>
    <n v="2"/>
    <s v="5-10 Miles"/>
    <s v="Pacific"/>
    <x v="38"/>
    <x v="0"/>
    <s v="Yes"/>
  </r>
  <r>
    <n v="0"/>
    <s v="Partial College"/>
    <s v="Clerical"/>
    <s v="No"/>
    <n v="1"/>
    <s v="2-5 Miles"/>
    <s v="Europe"/>
    <x v="25"/>
    <x v="2"/>
    <s v="No"/>
  </r>
  <r>
    <n v="2"/>
    <s v="Partial College"/>
    <s v="Skilled Manual"/>
    <s v="Yes"/>
    <n v="2"/>
    <s v="5-10 Miles"/>
    <s v="Pacific"/>
    <x v="31"/>
    <x v="0"/>
    <s v="Yes"/>
  </r>
  <r>
    <n v="2"/>
    <s v="Partial College"/>
    <s v="Skilled Manual"/>
    <s v="No"/>
    <n v="2"/>
    <s v="1-2 Miles"/>
    <s v="Pacific"/>
    <x v="39"/>
    <x v="0"/>
    <s v="Yes"/>
  </r>
  <r>
    <n v="0"/>
    <s v="Bachelors"/>
    <s v="Clerical"/>
    <s v="Yes"/>
    <n v="0"/>
    <s v="0-1 Miles"/>
    <s v="Europe"/>
    <x v="13"/>
    <x v="0"/>
    <s v="Yes"/>
  </r>
  <r>
    <n v="0"/>
    <s v="Bachelors"/>
    <s v="Professional"/>
    <s v="No"/>
    <n v="0"/>
    <s v="0-1 Miles"/>
    <s v="Europe"/>
    <x v="32"/>
    <x v="0"/>
    <s v="Yes"/>
  </r>
  <r>
    <n v="1"/>
    <s v="Partial College"/>
    <s v="Manual"/>
    <s v="No"/>
    <n v="0"/>
    <s v="0-1 Miles"/>
    <s v="Europe"/>
    <x v="30"/>
    <x v="0"/>
    <s v="Yes"/>
  </r>
  <r>
    <n v="0"/>
    <s v="Bachelors"/>
    <s v="Professional"/>
    <s v="No"/>
    <n v="1"/>
    <s v="5-10 Miles"/>
    <s v="Pacific"/>
    <x v="13"/>
    <x v="0"/>
    <s v="No"/>
  </r>
  <r>
    <n v="2"/>
    <s v="Partial College"/>
    <s v="Clerical"/>
    <s v="Yes"/>
    <n v="2"/>
    <s v="1-2 Miles"/>
    <s v="Europe"/>
    <x v="11"/>
    <x v="0"/>
    <s v="No"/>
  </r>
  <r>
    <n v="1"/>
    <s v="Graduate Degree"/>
    <s v="Management"/>
    <s v="No"/>
    <n v="1"/>
    <s v="0-1 Miles"/>
    <s v="Pacific"/>
    <x v="4"/>
    <x v="0"/>
    <s v="Yes"/>
  </r>
  <r>
    <n v="0"/>
    <s v="Bachelors"/>
    <s v="Clerical"/>
    <s v="Yes"/>
    <n v="0"/>
    <s v="0-1 Miles"/>
    <s v="Pacific"/>
    <x v="22"/>
    <x v="2"/>
    <s v="Yes"/>
  </r>
  <r>
    <n v="0"/>
    <s v="Graduate Degree"/>
    <s v="Manual"/>
    <s v="No"/>
    <n v="0"/>
    <s v="0-1 Miles"/>
    <s v="Europe"/>
    <x v="25"/>
    <x v="2"/>
    <s v="Yes"/>
  </r>
  <r>
    <n v="1"/>
    <s v="Bachelors"/>
    <s v="Skilled Manual"/>
    <s v="Yes"/>
    <n v="2"/>
    <s v="0-1 Miles"/>
    <s v="Europe"/>
    <x v="0"/>
    <x v="0"/>
    <s v="No"/>
  </r>
  <r>
    <n v="0"/>
    <s v="High School"/>
    <s v="Manual"/>
    <s v="Yes"/>
    <n v="0"/>
    <s v="0-1 Miles"/>
    <s v="Europe"/>
    <x v="8"/>
    <x v="0"/>
    <s v="Yes"/>
  </r>
  <r>
    <n v="5"/>
    <s v="Bachelors"/>
    <s v="Management"/>
    <s v="Yes"/>
    <n v="2"/>
    <s v="2-5 Miles"/>
    <s v="Europe"/>
    <x v="24"/>
    <x v="1"/>
    <s v="No"/>
  </r>
  <r>
    <n v="0"/>
    <s v="Partial College"/>
    <s v="Clerical"/>
    <s v="No"/>
    <n v="1"/>
    <s v="2-5 Miles"/>
    <s v="Europe"/>
    <x v="19"/>
    <x v="2"/>
    <s v="No"/>
  </r>
  <r>
    <n v="2"/>
    <s v="Bachelors"/>
    <s v="Management"/>
    <s v="Yes"/>
    <n v="2"/>
    <s v="5-10 Miles"/>
    <s v="Pacific"/>
    <x v="29"/>
    <x v="1"/>
    <s v="Yes"/>
  </r>
  <r>
    <n v="2"/>
    <s v="High School"/>
    <s v="Professional"/>
    <s v="Yes"/>
    <n v="4"/>
    <s v="0-1 Miles"/>
    <s v="Europe"/>
    <x v="28"/>
    <x v="0"/>
    <s v="No"/>
  </r>
  <r>
    <n v="0"/>
    <s v="Bachelors"/>
    <s v="Professional"/>
    <s v="No"/>
    <n v="3"/>
    <s v="10+ Miles"/>
    <s v="Pacific"/>
    <x v="23"/>
    <x v="0"/>
    <s v="No"/>
  </r>
  <r>
    <n v="3"/>
    <s v="Partial College"/>
    <s v="Management"/>
    <s v="No"/>
    <n v="4"/>
    <s v="5-10 Miles"/>
    <s v="Europe"/>
    <x v="16"/>
    <x v="1"/>
    <s v="No"/>
  </r>
  <r>
    <n v="0"/>
    <s v="Bachelors"/>
    <s v="Clerical"/>
    <s v="No"/>
    <n v="0"/>
    <s v="0-1 Miles"/>
    <s v="Europe"/>
    <x v="13"/>
    <x v="0"/>
    <s v="Yes"/>
  </r>
  <r>
    <n v="5"/>
    <s v="Bachelors"/>
    <s v="Professional"/>
    <s v="Yes"/>
    <n v="4"/>
    <s v="1-2 Miles"/>
    <s v="Pacific"/>
    <x v="8"/>
    <x v="0"/>
    <s v="No"/>
  </r>
  <r>
    <n v="0"/>
    <s v="Partial College"/>
    <s v="Clerical"/>
    <s v="Yes"/>
    <n v="1"/>
    <s v="2-5 Miles"/>
    <s v="Europe"/>
    <x v="21"/>
    <x v="0"/>
    <s v="No"/>
  </r>
  <r>
    <n v="1"/>
    <s v="Bachelors"/>
    <s v="Clerical"/>
    <s v="Yes"/>
    <n v="1"/>
    <s v="2-5 Miles"/>
    <s v="Europe"/>
    <x v="32"/>
    <x v="0"/>
    <s v="No"/>
  </r>
  <r>
    <n v="2"/>
    <s v="Partial College"/>
    <s v="Manual"/>
    <s v="Yes"/>
    <n v="1"/>
    <s v="0-1 Miles"/>
    <s v="Europe"/>
    <x v="31"/>
    <x v="0"/>
    <s v="Yes"/>
  </r>
  <r>
    <n v="3"/>
    <s v="High School"/>
    <s v="Manual"/>
    <s v="Yes"/>
    <n v="1"/>
    <s v="0-1 Miles"/>
    <s v="Europe"/>
    <x v="32"/>
    <x v="0"/>
    <s v="Yes"/>
  </r>
  <r>
    <n v="2"/>
    <s v="Bachelors"/>
    <s v="Professional"/>
    <s v="Yes"/>
    <n v="1"/>
    <s v="2-5 Miles"/>
    <s v="Pacific"/>
    <x v="34"/>
    <x v="0"/>
    <s v="No"/>
  </r>
  <r>
    <n v="4"/>
    <s v="High School"/>
    <s v="Management"/>
    <s v="Yes"/>
    <n v="3"/>
    <s v="5-10 Miles"/>
    <s v="Europe"/>
    <x v="16"/>
    <x v="1"/>
    <s v="Yes"/>
  </r>
  <r>
    <n v="0"/>
    <s v="Bachelors"/>
    <s v="Professional"/>
    <s v="Yes"/>
    <n v="0"/>
    <s v="0-1 Miles"/>
    <s v="Europe"/>
    <x v="8"/>
    <x v="0"/>
    <s v="Yes"/>
  </r>
  <r>
    <n v="2"/>
    <s v="Bachelors"/>
    <s v="Management"/>
    <s v="Yes"/>
    <n v="2"/>
    <s v="5-10 Miles"/>
    <s v="Pacific"/>
    <x v="27"/>
    <x v="1"/>
    <s v="Yes"/>
  </r>
  <r>
    <n v="2"/>
    <s v="Partial College"/>
    <s v="Clerical"/>
    <s v="Yes"/>
    <n v="2"/>
    <s v="0-1 Miles"/>
    <s v="Europe"/>
    <x v="0"/>
    <x v="0"/>
    <s v="No"/>
  </r>
  <r>
    <n v="2"/>
    <s v="Partial College"/>
    <s v="Manual"/>
    <s v="Yes"/>
    <n v="1"/>
    <s v="2-5 Miles"/>
    <s v="Europe"/>
    <x v="31"/>
    <x v="0"/>
    <s v="No"/>
  </r>
  <r>
    <n v="1"/>
    <s v="High School"/>
    <s v="Manual"/>
    <s v="No"/>
    <n v="1"/>
    <s v="5-10 Miles"/>
    <s v="Europe"/>
    <x v="11"/>
    <x v="0"/>
    <s v="Yes"/>
  </r>
  <r>
    <n v="2"/>
    <s v="High School"/>
    <s v="Manual"/>
    <s v="Yes"/>
    <n v="2"/>
    <s v="0-1 Miles"/>
    <s v="Europe"/>
    <x v="0"/>
    <x v="0"/>
    <s v="No"/>
  </r>
  <r>
    <n v="2"/>
    <s v="Partial High School"/>
    <s v="Clerical"/>
    <s v="Yes"/>
    <n v="2"/>
    <s v="5-10 Miles"/>
    <s v="Pacific"/>
    <x v="10"/>
    <x v="1"/>
    <s v="Yes"/>
  </r>
  <r>
    <n v="2"/>
    <s v="Partial College"/>
    <s v="Clerical"/>
    <s v="No"/>
    <n v="2"/>
    <s v="5-10 Miles"/>
    <s v="Pacific"/>
    <x v="2"/>
    <x v="1"/>
    <s v="Yes"/>
  </r>
  <r>
    <n v="0"/>
    <s v="Bachelors"/>
    <s v="Professional"/>
    <s v="No"/>
    <n v="0"/>
    <s v="0-1 Miles"/>
    <s v="Europe"/>
    <x v="8"/>
    <x v="0"/>
    <s v="Yes"/>
  </r>
  <r>
    <n v="0"/>
    <s v="Partial College"/>
    <s v="Manual"/>
    <s v="No"/>
    <n v="1"/>
    <s v="0-1 Miles"/>
    <s v="Pacific"/>
    <x v="22"/>
    <x v="2"/>
    <s v="Yes"/>
  </r>
  <r>
    <n v="1"/>
    <s v="Bachelors"/>
    <s v="Skilled Manual"/>
    <s v="Yes"/>
    <n v="0"/>
    <s v="0-1 Miles"/>
    <s v="Europe"/>
    <x v="0"/>
    <x v="0"/>
    <s v="Yes"/>
  </r>
  <r>
    <n v="0"/>
    <s v="Bachelors"/>
    <s v="Professional"/>
    <s v="Yes"/>
    <n v="3"/>
    <s v="10+ Miles"/>
    <s v="Pacific"/>
    <x v="21"/>
    <x v="0"/>
    <s v="No"/>
  </r>
  <r>
    <n v="1"/>
    <s v="Bachelors"/>
    <s v="Clerical"/>
    <s v="Yes"/>
    <n v="0"/>
    <s v="1-2 Miles"/>
    <s v="Europe"/>
    <x v="34"/>
    <x v="0"/>
    <s v="Yes"/>
  </r>
  <r>
    <n v="2"/>
    <s v="Partial College"/>
    <s v="Clerical"/>
    <s v="No"/>
    <n v="1"/>
    <s v="0-1 Miles"/>
    <s v="Europe"/>
    <x v="17"/>
    <x v="0"/>
    <s v="No"/>
  </r>
  <r>
    <n v="0"/>
    <s v="Graduate Degree"/>
    <s v="Clerical"/>
    <s v="Yes"/>
    <n v="0"/>
    <s v="0-1 Miles"/>
    <s v="Europe"/>
    <x v="34"/>
    <x v="0"/>
    <s v="Yes"/>
  </r>
  <r>
    <n v="0"/>
    <s v="Bachelors"/>
    <s v="Professional"/>
    <s v="No"/>
    <n v="0"/>
    <s v="0-1 Miles"/>
    <s v="Europe"/>
    <x v="8"/>
    <x v="0"/>
    <s v="Yes"/>
  </r>
  <r>
    <n v="4"/>
    <s v="High School"/>
    <s v="Skilled Manual"/>
    <s v="Yes"/>
    <n v="2"/>
    <s v="5-10 Miles"/>
    <s v="Pacific"/>
    <x v="2"/>
    <x v="1"/>
    <s v="No"/>
  </r>
  <r>
    <n v="0"/>
    <s v="Partial College"/>
    <s v="Clerical"/>
    <s v="No"/>
    <n v="1"/>
    <s v="1-2 Miles"/>
    <s v="Europe"/>
    <x v="40"/>
    <x v="2"/>
    <s v="No"/>
  </r>
  <r>
    <n v="1"/>
    <s v="Partial College"/>
    <s v="Skilled Manual"/>
    <s v="Yes"/>
    <n v="1"/>
    <s v="5-10 Miles"/>
    <s v="Pacific"/>
    <x v="1"/>
    <x v="0"/>
    <s v="Yes"/>
  </r>
  <r>
    <n v="1"/>
    <s v="Bachelors"/>
    <s v="Management"/>
    <s v="No"/>
    <n v="3"/>
    <s v="0-1 Miles"/>
    <s v="Pacific"/>
    <x v="28"/>
    <x v="0"/>
    <s v="No"/>
  </r>
  <r>
    <n v="0"/>
    <s v="Partial High School"/>
    <s v="Manual"/>
    <s v="No"/>
    <n v="2"/>
    <s v="1-2 Miles"/>
    <s v="Europe"/>
    <x v="21"/>
    <x v="0"/>
    <s v="No"/>
  </r>
  <r>
    <n v="1"/>
    <s v="Bachelors"/>
    <s v="Management"/>
    <s v="Yes"/>
    <n v="3"/>
    <s v="2-5 Miles"/>
    <s v="Pacific"/>
    <x v="15"/>
    <x v="0"/>
    <s v="No"/>
  </r>
  <r>
    <n v="5"/>
    <s v="Graduate Degree"/>
    <s v="Management"/>
    <s v="Yes"/>
    <n v="3"/>
    <s v="0-1 Miles"/>
    <s v="Pacific"/>
    <x v="8"/>
    <x v="0"/>
    <s v="No"/>
  </r>
  <r>
    <n v="4"/>
    <s v="Partial High School"/>
    <s v="Manual"/>
    <s v="Yes"/>
    <n v="2"/>
    <s v="0-1 Miles"/>
    <s v="Europe"/>
    <x v="3"/>
    <x v="0"/>
    <s v="Yes"/>
  </r>
  <r>
    <n v="5"/>
    <s v="Partial College"/>
    <s v="Professional"/>
    <s v="Yes"/>
    <n v="4"/>
    <s v="0-1 Miles"/>
    <s v="Europe"/>
    <x v="14"/>
    <x v="1"/>
    <s v="No"/>
  </r>
  <r>
    <n v="2"/>
    <s v="Partial College"/>
    <s v="Manual"/>
    <s v="No"/>
    <n v="0"/>
    <s v="0-1 Miles"/>
    <s v="Europe"/>
    <x v="5"/>
    <x v="0"/>
    <s v="No"/>
  </r>
  <r>
    <n v="2"/>
    <s v="Partial College"/>
    <s v="Manual"/>
    <s v="No"/>
    <n v="1"/>
    <s v="0-1 Miles"/>
    <s v="Europe"/>
    <x v="9"/>
    <x v="0"/>
    <s v="Yes"/>
  </r>
  <r>
    <n v="1"/>
    <s v="Bachelors"/>
    <s v="Manual"/>
    <s v="Yes"/>
    <n v="0"/>
    <s v="0-1 Miles"/>
    <s v="Europe"/>
    <x v="28"/>
    <x v="0"/>
    <s v="No"/>
  </r>
  <r>
    <n v="1"/>
    <s v="Bachelors"/>
    <s v="Professional"/>
    <s v="Yes"/>
    <n v="1"/>
    <s v="5-10 Miles"/>
    <s v="Pacific"/>
    <x v="20"/>
    <x v="0"/>
    <s v="Yes"/>
  </r>
  <r>
    <n v="2"/>
    <s v="High School"/>
    <s v="Manual"/>
    <s v="Yes"/>
    <n v="0"/>
    <s v="0-1 Miles"/>
    <s v="Europe"/>
    <x v="8"/>
    <x v="0"/>
    <s v="Yes"/>
  </r>
  <r>
    <n v="2"/>
    <s v="Bachelors"/>
    <s v="Professional"/>
    <s v="No"/>
    <n v="1"/>
    <s v="0-1 Miles"/>
    <s v="Pacific"/>
    <x v="13"/>
    <x v="0"/>
    <s v="Yes"/>
  </r>
  <r>
    <n v="2"/>
    <s v="Partial College"/>
    <s v="Skilled Manual"/>
    <s v="No"/>
    <n v="2"/>
    <s v="1-2 Miles"/>
    <s v="Pacific"/>
    <x v="31"/>
    <x v="0"/>
    <s v="No"/>
  </r>
  <r>
    <n v="0"/>
    <s v="Partial College"/>
    <s v="Manual"/>
    <s v="Yes"/>
    <n v="1"/>
    <s v="2-5 Miles"/>
    <s v="Pacific"/>
    <x v="37"/>
    <x v="2"/>
    <s v="Yes"/>
  </r>
  <r>
    <n v="0"/>
    <s v="Partial College"/>
    <s v="Manual"/>
    <s v="No"/>
    <n v="1"/>
    <s v="0-1 Miles"/>
    <s v="Pacific"/>
    <x v="37"/>
    <x v="2"/>
    <s v="No"/>
  </r>
  <r>
    <n v="1"/>
    <s v="Bachelors"/>
    <s v="Professional"/>
    <s v="Yes"/>
    <n v="1"/>
    <s v="2-5 Miles"/>
    <s v="Pacific"/>
    <x v="15"/>
    <x v="0"/>
    <s v="Yes"/>
  </r>
  <r>
    <n v="0"/>
    <s v="High School"/>
    <s v="Management"/>
    <s v="Yes"/>
    <n v="3"/>
    <s v="10+ Miles"/>
    <s v="Pacific"/>
    <x v="11"/>
    <x v="0"/>
    <s v="No"/>
  </r>
  <r>
    <n v="0"/>
    <s v="Bachelors"/>
    <s v="Professional"/>
    <s v="No"/>
    <n v="1"/>
    <s v="5-10 Miles"/>
    <s v="Pacific"/>
    <x v="3"/>
    <x v="0"/>
    <s v="Yes"/>
  </r>
  <r>
    <n v="1"/>
    <s v="Bachelors"/>
    <s v="Clerical"/>
    <s v="Yes"/>
    <n v="0"/>
    <s v="0-1 Miles"/>
    <s v="Europe"/>
    <x v="15"/>
    <x v="0"/>
    <s v="No"/>
  </r>
  <r>
    <n v="4"/>
    <s v="Partial College"/>
    <s v="Professional"/>
    <s v="Yes"/>
    <n v="4"/>
    <s v="5-10 Miles"/>
    <s v="Europe"/>
    <x v="33"/>
    <x v="1"/>
    <s v="Yes"/>
  </r>
  <r>
    <n v="5"/>
    <s v="Bachelors"/>
    <s v="Management"/>
    <s v="Yes"/>
    <n v="2"/>
    <s v="2-5 Miles"/>
    <s v="Europe"/>
    <x v="33"/>
    <x v="1"/>
    <s v="No"/>
  </r>
  <r>
    <n v="0"/>
    <s v="Partial High School"/>
    <s v="Manual"/>
    <s v="No"/>
    <n v="2"/>
    <s v="0-1 Miles"/>
    <s v="Europe"/>
    <x v="6"/>
    <x v="0"/>
    <s v="No"/>
  </r>
  <r>
    <n v="0"/>
    <s v="Partial College"/>
    <s v="Manual"/>
    <s v="Yes"/>
    <n v="1"/>
    <s v="2-5 Miles"/>
    <s v="Pacific"/>
    <x v="40"/>
    <x v="2"/>
    <s v="No"/>
  </r>
  <r>
    <n v="0"/>
    <s v="Graduate Degree"/>
    <s v="Skilled Manual"/>
    <s v="Yes"/>
    <n v="0"/>
    <s v="0-1 Miles"/>
    <s v="Europe"/>
    <x v="34"/>
    <x v="0"/>
    <s v="Yes"/>
  </r>
  <r>
    <n v="2"/>
    <s v="Partial College"/>
    <s v="Skilled Manual"/>
    <s v="Yes"/>
    <n v="2"/>
    <s v="5-10 Miles"/>
    <s v="Pacific"/>
    <x v="31"/>
    <x v="0"/>
    <s v="Yes"/>
  </r>
  <r>
    <n v="0"/>
    <s v="Partial College"/>
    <s v="Manual"/>
    <s v="Yes"/>
    <n v="0"/>
    <s v="0-1 Miles"/>
    <s v="Pacific"/>
    <x v="19"/>
    <x v="2"/>
    <s v="Yes"/>
  </r>
  <r>
    <n v="2"/>
    <s v="Partial College"/>
    <s v="Professional"/>
    <s v="No"/>
    <n v="3"/>
    <s v="5-10 Miles"/>
    <s v="Europe"/>
    <x v="28"/>
    <x v="0"/>
    <s v="No"/>
  </r>
  <r>
    <n v="4"/>
    <s v="Partial College"/>
    <s v="Professional"/>
    <s v="No"/>
    <n v="2"/>
    <s v="10+ Miles"/>
    <s v="Europe"/>
    <x v="10"/>
    <x v="1"/>
    <s v="Yes"/>
  </r>
  <r>
    <n v="0"/>
    <s v="Graduate Degree"/>
    <s v="Manual"/>
    <s v="Yes"/>
    <n v="0"/>
    <s v="0-1 Miles"/>
    <s v="Europe"/>
    <x v="34"/>
    <x v="0"/>
    <s v="Yes"/>
  </r>
  <r>
    <n v="1"/>
    <s v="Graduate Degree"/>
    <s v="Manual"/>
    <s v="Yes"/>
    <n v="0"/>
    <s v="0-1 Miles"/>
    <s v="Europe"/>
    <x v="20"/>
    <x v="0"/>
    <s v="No"/>
  </r>
  <r>
    <n v="3"/>
    <s v="Partial College"/>
    <s v="Clerical"/>
    <s v="No"/>
    <n v="2"/>
    <s v="1-2 Miles"/>
    <s v="Pacific"/>
    <x v="10"/>
    <x v="1"/>
    <s v="Yes"/>
  </r>
  <r>
    <n v="2"/>
    <s v="High School"/>
    <s v="Manual"/>
    <s v="No"/>
    <n v="1"/>
    <s v="0-1 Miles"/>
    <s v="Europe"/>
    <x v="13"/>
    <x v="0"/>
    <s v="No"/>
  </r>
  <r>
    <n v="2"/>
    <s v="Bachelors"/>
    <s v="Management"/>
    <s v="Yes"/>
    <n v="2"/>
    <s v="5-10 Miles"/>
    <s v="Pacific"/>
    <x v="29"/>
    <x v="1"/>
    <s v="Yes"/>
  </r>
  <r>
    <n v="4"/>
    <s v="High School"/>
    <s v="Management"/>
    <s v="No"/>
    <n v="4"/>
    <s v="10+ Miles"/>
    <s v="Europe"/>
    <x v="7"/>
    <x v="1"/>
    <s v="No"/>
  </r>
  <r>
    <n v="1"/>
    <s v="Bachelors"/>
    <s v="Professional"/>
    <s v="Yes"/>
    <n v="1"/>
    <s v="2-5 Miles"/>
    <s v="Pacific"/>
    <x v="15"/>
    <x v="0"/>
    <s v="Yes"/>
  </r>
  <r>
    <n v="3"/>
    <s v="High School"/>
    <s v="Skilled Manual"/>
    <s v="No"/>
    <n v="2"/>
    <s v="1-2 Miles"/>
    <s v="Pacific"/>
    <x v="16"/>
    <x v="1"/>
    <s v="Yes"/>
  </r>
  <r>
    <n v="5"/>
    <s v="Partial College"/>
    <s v="Professional"/>
    <s v="No"/>
    <n v="2"/>
    <s v="10+ Miles"/>
    <s v="Europe"/>
    <x v="14"/>
    <x v="1"/>
    <s v="No"/>
  </r>
  <r>
    <n v="0"/>
    <s v="Bachelors"/>
    <s v="Professional"/>
    <s v="Yes"/>
    <n v="4"/>
    <s v="10+ Miles"/>
    <s v="Pacific"/>
    <x v="21"/>
    <x v="0"/>
    <s v="Yes"/>
  </r>
  <r>
    <n v="1"/>
    <s v="Partial College"/>
    <s v="Clerical"/>
    <s v="Yes"/>
    <n v="1"/>
    <s v="0-1 Miles"/>
    <s v="Europe"/>
    <x v="20"/>
    <x v="0"/>
    <s v="Yes"/>
  </r>
  <r>
    <n v="3"/>
    <s v="High School"/>
    <s v="Skilled Manual"/>
    <s v="Yes"/>
    <n v="2"/>
    <s v="5-10 Miles"/>
    <s v="Pacific"/>
    <x v="10"/>
    <x v="1"/>
    <s v="No"/>
  </r>
  <r>
    <n v="2"/>
    <s v="High School"/>
    <s v="Manual"/>
    <s v="Yes"/>
    <n v="0"/>
    <s v="0-1 Miles"/>
    <s v="Europe"/>
    <x v="4"/>
    <x v="0"/>
    <s v="Yes"/>
  </r>
  <r>
    <n v="5"/>
    <s v="Bachelors"/>
    <s v="Management"/>
    <s v="Yes"/>
    <n v="2"/>
    <s v="10+ Miles"/>
    <s v="Europe"/>
    <x v="24"/>
    <x v="1"/>
    <s v="No"/>
  </r>
  <r>
    <n v="5"/>
    <s v="Bachelors"/>
    <s v="Professional"/>
    <s v="Yes"/>
    <n v="4"/>
    <s v="10+ Miles"/>
    <s v="Pacific"/>
    <x v="3"/>
    <x v="0"/>
    <s v="No"/>
  </r>
  <r>
    <n v="0"/>
    <s v="Partial High School"/>
    <s v="Manual"/>
    <s v="No"/>
    <n v="2"/>
    <s v="0-1 Miles"/>
    <s v="Europe"/>
    <x v="21"/>
    <x v="0"/>
    <s v="No"/>
  </r>
  <r>
    <n v="0"/>
    <s v="Bachelors"/>
    <s v="Clerical"/>
    <s v="Yes"/>
    <n v="0"/>
    <s v="0-1 Miles"/>
    <s v="Pacific"/>
    <x v="37"/>
    <x v="2"/>
    <s v="Yes"/>
  </r>
  <r>
    <n v="0"/>
    <s v="Graduate Degree"/>
    <s v="Skilled Manual"/>
    <s v="Yes"/>
    <n v="0"/>
    <s v="1-2 Miles"/>
    <s v="Europe"/>
    <x v="4"/>
    <x v="0"/>
    <s v="No"/>
  </r>
  <r>
    <n v="2"/>
    <s v="Graduate Degree"/>
    <s v="Management"/>
    <s v="Yes"/>
    <n v="1"/>
    <s v="0-1 Miles"/>
    <s v="Pacific"/>
    <x v="41"/>
    <x v="1"/>
    <s v="Yes"/>
  </r>
  <r>
    <n v="0"/>
    <s v="Graduate Degree"/>
    <s v="Management"/>
    <s v="No"/>
    <n v="1"/>
    <s v="1-2 Miles"/>
    <s v="Pacific"/>
    <x v="32"/>
    <x v="0"/>
    <s v="Yes"/>
  </r>
  <r>
    <n v="0"/>
    <s v="Bachelors"/>
    <s v="Professional"/>
    <s v="No"/>
    <n v="3"/>
    <s v="10+ Miles"/>
    <s v="Pacific"/>
    <x v="6"/>
    <x v="0"/>
    <s v="Yes"/>
  </r>
  <r>
    <n v="0"/>
    <s v="Bachelors"/>
    <s v="Professional"/>
    <s v="No"/>
    <n v="3"/>
    <s v="2-5 Miles"/>
    <s v="Pacific"/>
    <x v="23"/>
    <x v="0"/>
    <s v="No"/>
  </r>
  <r>
    <n v="1"/>
    <s v="High School"/>
    <s v="Manual"/>
    <s v="Yes"/>
    <n v="0"/>
    <s v="2-5 Miles"/>
    <s v="Pacific"/>
    <x v="40"/>
    <x v="2"/>
    <s v="Yes"/>
  </r>
  <r>
    <n v="2"/>
    <s v="Partial College"/>
    <s v="Clerical"/>
    <s v="Yes"/>
    <n v="0"/>
    <s v="1-2 Miles"/>
    <s v="Europe"/>
    <x v="6"/>
    <x v="0"/>
    <s v="Yes"/>
  </r>
  <r>
    <n v="1"/>
    <s v="Partial College"/>
    <s v="Skilled Manual"/>
    <s v="Yes"/>
    <n v="1"/>
    <s v="5-10 Miles"/>
    <s v="Pacific"/>
    <x v="30"/>
    <x v="0"/>
    <s v="Yes"/>
  </r>
  <r>
    <n v="3"/>
    <s v="High School"/>
    <s v="Professional"/>
    <s v="No"/>
    <n v="1"/>
    <s v="2-5 Miles"/>
    <s v="Europe"/>
    <x v="36"/>
    <x v="0"/>
    <s v="No"/>
  </r>
  <r>
    <n v="3"/>
    <s v="Graduate Degree"/>
    <s v="Clerical"/>
    <s v="Yes"/>
    <n v="0"/>
    <s v="0-1 Miles"/>
    <s v="Europe"/>
    <x v="30"/>
    <x v="0"/>
    <s v="Yes"/>
  </r>
  <r>
    <n v="5"/>
    <s v="Partial College"/>
    <s v="Professional"/>
    <s v="No"/>
    <n v="2"/>
    <s v="10+ Miles"/>
    <s v="Europe"/>
    <x v="24"/>
    <x v="1"/>
    <s v="No"/>
  </r>
  <r>
    <n v="0"/>
    <s v="Partial High School"/>
    <s v="Manual"/>
    <s v="Yes"/>
    <n v="2"/>
    <s v="1-2 Miles"/>
    <s v="Europe"/>
    <x v="22"/>
    <x v="2"/>
    <s v="Yes"/>
  </r>
  <r>
    <n v="0"/>
    <s v="Graduate Degree"/>
    <s v="Clerical"/>
    <s v="Yes"/>
    <n v="0"/>
    <s v="0-1 Miles"/>
    <s v="Europe"/>
    <x v="34"/>
    <x v="0"/>
    <s v="Yes"/>
  </r>
  <r>
    <n v="3"/>
    <s v="Partial College"/>
    <s v="Clerical"/>
    <s v="Yes"/>
    <n v="0"/>
    <s v="0-1 Miles"/>
    <s v="Europe"/>
    <x v="0"/>
    <x v="0"/>
    <s v="Yes"/>
  </r>
  <r>
    <n v="4"/>
    <s v="Graduate Degree"/>
    <s v="Management"/>
    <s v="Yes"/>
    <n v="1"/>
    <s v="0-1 Miles"/>
    <s v="Pacific"/>
    <x v="4"/>
    <x v="0"/>
    <s v="No"/>
  </r>
  <r>
    <n v="0"/>
    <s v="Graduate Degree"/>
    <s v="Skilled Manual"/>
    <s v="Yes"/>
    <n v="0"/>
    <s v="0-1 Miles"/>
    <s v="Europe"/>
    <x v="4"/>
    <x v="0"/>
    <s v="Yes"/>
  </r>
  <r>
    <n v="0"/>
    <s v="Partial College"/>
    <s v="Clerical"/>
    <s v="No"/>
    <n v="1"/>
    <s v="2-5 Miles"/>
    <s v="Europe"/>
    <x v="25"/>
    <x v="2"/>
    <s v="No"/>
  </r>
  <r>
    <n v="0"/>
    <s v="Bachelors"/>
    <s v="Professional"/>
    <s v="No"/>
    <n v="4"/>
    <s v="10+ Miles"/>
    <s v="Pacific"/>
    <x v="23"/>
    <x v="0"/>
    <s v="Yes"/>
  </r>
  <r>
    <n v="1"/>
    <s v="Bachelors"/>
    <s v="Clerical"/>
    <s v="Yes"/>
    <n v="0"/>
    <s v="0-1 Miles"/>
    <s v="Europe"/>
    <x v="27"/>
    <x v="1"/>
    <s v="Yes"/>
  </r>
  <r>
    <n v="4"/>
    <s v="Partial College"/>
    <s v="Professional"/>
    <s v="No"/>
    <n v="2"/>
    <s v="2-5 Miles"/>
    <s v="Europe"/>
    <x v="9"/>
    <x v="0"/>
    <s v="Yes"/>
  </r>
  <r>
    <n v="2"/>
    <s v="Partial High School"/>
    <s v="Clerical"/>
    <s v="Yes"/>
    <n v="3"/>
    <s v="5-10 Miles"/>
    <s v="Pacific"/>
    <x v="9"/>
    <x v="0"/>
    <s v="No"/>
  </r>
  <r>
    <n v="0"/>
    <s v="Partial High School"/>
    <s v="Manual"/>
    <s v="No"/>
    <n v="2"/>
    <s v="0-1 Miles"/>
    <s v="Europe"/>
    <x v="37"/>
    <x v="2"/>
    <s v="No"/>
  </r>
  <r>
    <n v="1"/>
    <s v="Bachelors"/>
    <s v="Manual"/>
    <s v="Yes"/>
    <n v="0"/>
    <s v="0-1 Miles"/>
    <s v="Europe"/>
    <x v="28"/>
    <x v="0"/>
    <s v="No"/>
  </r>
  <r>
    <n v="0"/>
    <s v="Partial College"/>
    <s v="Manual"/>
    <s v="Yes"/>
    <n v="1"/>
    <s v="1-2 Miles"/>
    <s v="Pacific"/>
    <x v="22"/>
    <x v="2"/>
    <s v="Yes"/>
  </r>
  <r>
    <n v="1"/>
    <s v="Bachelors"/>
    <s v="Professional"/>
    <s v="Yes"/>
    <n v="1"/>
    <s v="5-10 Miles"/>
    <s v="Pacific"/>
    <x v="1"/>
    <x v="0"/>
    <s v="Yes"/>
  </r>
  <r>
    <n v="0"/>
    <s v="Partial High School"/>
    <s v="Manual"/>
    <s v="No"/>
    <n v="2"/>
    <s v="1-2 Miles"/>
    <s v="Europe"/>
    <x v="11"/>
    <x v="0"/>
    <s v="No"/>
  </r>
  <r>
    <n v="3"/>
    <s v="Partial College"/>
    <s v="Clerical"/>
    <s v="No"/>
    <n v="0"/>
    <s v="0-1 Miles"/>
    <s v="Europe"/>
    <x v="0"/>
    <x v="0"/>
    <s v="No"/>
  </r>
  <r>
    <n v="5"/>
    <s v="Bachelors"/>
    <s v="Professional"/>
    <s v="Yes"/>
    <n v="4"/>
    <s v="10+ Miles"/>
    <s v="Pacific"/>
    <x v="32"/>
    <x v="0"/>
    <s v="No"/>
  </r>
  <r>
    <n v="2"/>
    <s v="Partial College"/>
    <s v="Clerical"/>
    <s v="No"/>
    <n v="2"/>
    <s v="0-1 Miles"/>
    <s v="Pacific"/>
    <x v="41"/>
    <x v="1"/>
    <s v="No"/>
  </r>
  <r>
    <n v="1"/>
    <s v="Partial College"/>
    <s v="Manual"/>
    <s v="Yes"/>
    <n v="0"/>
    <s v="1-2 Miles"/>
    <s v="Europe"/>
    <x v="11"/>
    <x v="0"/>
    <s v="No"/>
  </r>
  <r>
    <n v="3"/>
    <s v="High School"/>
    <s v="Manual"/>
    <s v="Yes"/>
    <n v="1"/>
    <s v="0-1 Miles"/>
    <s v="Europe"/>
    <x v="0"/>
    <x v="0"/>
    <s v="Yes"/>
  </r>
  <r>
    <n v="3"/>
    <s v="Partial High School"/>
    <s v="Manual"/>
    <s v="Yes"/>
    <n v="2"/>
    <s v="0-1 Miles"/>
    <s v="Europe"/>
    <x v="1"/>
    <x v="0"/>
    <s v="No"/>
  </r>
  <r>
    <n v="1"/>
    <s v="Graduate Degree"/>
    <s v="Clerical"/>
    <s v="Yes"/>
    <n v="0"/>
    <s v="0-1 Miles"/>
    <s v="Europe"/>
    <x v="12"/>
    <x v="0"/>
    <s v="No"/>
  </r>
  <r>
    <n v="5"/>
    <s v="High School"/>
    <s v="Management"/>
    <s v="Yes"/>
    <n v="3"/>
    <s v="10+ Miles"/>
    <s v="Europe"/>
    <x v="42"/>
    <x v="1"/>
    <s v="No"/>
  </r>
  <r>
    <n v="4"/>
    <s v="Partial College"/>
    <s v="Management"/>
    <s v="Yes"/>
    <n v="3"/>
    <s v="10+ Miles"/>
    <s v="Europe"/>
    <x v="16"/>
    <x v="1"/>
    <s v="No"/>
  </r>
  <r>
    <n v="0"/>
    <s v="Bachelors"/>
    <s v="Clerical"/>
    <s v="Yes"/>
    <n v="0"/>
    <s v="0-1 Miles"/>
    <s v="Europe"/>
    <x v="13"/>
    <x v="0"/>
    <s v="Yes"/>
  </r>
  <r>
    <n v="4"/>
    <s v="Graduate Degree"/>
    <s v="Clerical"/>
    <s v="Yes"/>
    <n v="0"/>
    <s v="0-1 Miles"/>
    <s v="Europe"/>
    <x v="12"/>
    <x v="0"/>
    <s v="No"/>
  </r>
  <r>
    <n v="0"/>
    <s v="Bachelors"/>
    <s v="Clerical"/>
    <s v="Yes"/>
    <n v="0"/>
    <s v="0-1 Miles"/>
    <s v="Pacific"/>
    <x v="40"/>
    <x v="2"/>
    <s v="Yes"/>
  </r>
  <r>
    <n v="0"/>
    <s v="Bachelors"/>
    <s v="Professional"/>
    <s v="No"/>
    <n v="4"/>
    <s v="10+ Miles"/>
    <s v="Pacific"/>
    <x v="11"/>
    <x v="0"/>
    <s v="Yes"/>
  </r>
  <r>
    <n v="1"/>
    <s v="Graduate Degree"/>
    <s v="Clerical"/>
    <s v="Yes"/>
    <n v="0"/>
    <s v="0-1 Miles"/>
    <s v="Europe"/>
    <x v="43"/>
    <x v="1"/>
    <s v="Yes"/>
  </r>
  <r>
    <n v="5"/>
    <s v="Graduate Degree"/>
    <s v="Clerical"/>
    <s v="Yes"/>
    <n v="0"/>
    <s v="0-1 Miles"/>
    <s v="Europe"/>
    <x v="20"/>
    <x v="0"/>
    <s v="Yes"/>
  </r>
  <r>
    <n v="0"/>
    <s v="Partial College"/>
    <s v="Manual"/>
    <s v="No"/>
    <n v="1"/>
    <s v="0-1 Miles"/>
    <s v="Pacific"/>
    <x v="22"/>
    <x v="2"/>
    <s v="Yes"/>
  </r>
  <r>
    <n v="5"/>
    <s v="Partial College"/>
    <s v="Skilled Manual"/>
    <s v="Yes"/>
    <n v="3"/>
    <s v="5-10 Miles"/>
    <s v="Pacific"/>
    <x v="30"/>
    <x v="0"/>
    <s v="No"/>
  </r>
  <r>
    <n v="0"/>
    <s v="High School"/>
    <s v="Manual"/>
    <s v="No"/>
    <n v="1"/>
    <s v="2-5 Miles"/>
    <s v="Europe"/>
    <x v="17"/>
    <x v="0"/>
    <s v="Yes"/>
  </r>
  <r>
    <n v="1"/>
    <s v="Graduate Degree"/>
    <s v="Manual"/>
    <s v="Yes"/>
    <n v="0"/>
    <s v="0-1 Miles"/>
    <s v="Europe"/>
    <x v="34"/>
    <x v="0"/>
    <s v="No"/>
  </r>
  <r>
    <n v="3"/>
    <s v="Partial College"/>
    <s v="Clerical"/>
    <s v="Yes"/>
    <n v="2"/>
    <s v="0-1 Miles"/>
    <s v="Europe"/>
    <x v="40"/>
    <x v="2"/>
    <s v="No"/>
  </r>
  <r>
    <n v="1"/>
    <s v="Bachelors"/>
    <s v="Clerical"/>
    <s v="No"/>
    <n v="1"/>
    <s v="0-1 Miles"/>
    <s v="Europe"/>
    <x v="32"/>
    <x v="0"/>
    <s v="Yes"/>
  </r>
  <r>
    <n v="0"/>
    <s v="High School"/>
    <s v="Manual"/>
    <s v="No"/>
    <n v="1"/>
    <s v="2-5 Miles"/>
    <s v="Europe"/>
    <x v="19"/>
    <x v="2"/>
    <s v="No"/>
  </r>
  <r>
    <n v="3"/>
    <s v="Bachelors"/>
    <s v="Management"/>
    <s v="No"/>
    <n v="2"/>
    <s v="10+ Miles"/>
    <s v="Europe"/>
    <x v="31"/>
    <x v="0"/>
    <s v="Yes"/>
  </r>
  <r>
    <n v="5"/>
    <s v="Bachelors"/>
    <s v="Management"/>
    <s v="Yes"/>
    <n v="4"/>
    <s v="2-5 Miles"/>
    <s v="Pacific"/>
    <x v="28"/>
    <x v="0"/>
    <s v="Yes"/>
  </r>
  <r>
    <n v="3"/>
    <s v="Partial College"/>
    <s v="Professional"/>
    <s v="Yes"/>
    <n v="3"/>
    <s v="0-1 Miles"/>
    <s v="Europe"/>
    <x v="36"/>
    <x v="0"/>
    <s v="Yes"/>
  </r>
  <r>
    <n v="0"/>
    <s v="High School"/>
    <s v="Management"/>
    <s v="Yes"/>
    <n v="4"/>
    <s v="10+ Miles"/>
    <s v="Pacific"/>
    <x v="17"/>
    <x v="0"/>
    <s v="Yes"/>
  </r>
  <r>
    <n v="5"/>
    <s v="High School"/>
    <s v="Skilled Manual"/>
    <s v="No"/>
    <n v="3"/>
    <s v="1-2 Miles"/>
    <s v="Pacific"/>
    <x v="24"/>
    <x v="1"/>
    <s v="No"/>
  </r>
  <r>
    <n v="0"/>
    <s v="Bachelors"/>
    <s v="Professional"/>
    <s v="Yes"/>
    <n v="1"/>
    <s v="5-10 Miles"/>
    <s v="Pacific"/>
    <x v="34"/>
    <x v="0"/>
    <s v="Yes"/>
  </r>
  <r>
    <n v="5"/>
    <s v="Graduate Degree"/>
    <s v="Management"/>
    <s v="No"/>
    <n v="1"/>
    <s v="1-2 Miles"/>
    <s v="Pacific"/>
    <x v="44"/>
    <x v="1"/>
    <s v="Yes"/>
  </r>
  <r>
    <n v="4"/>
    <s v="High School"/>
    <s v="Professional"/>
    <s v="Yes"/>
    <n v="3"/>
    <s v="0-1 Miles"/>
    <s v="Europe"/>
    <x v="10"/>
    <x v="1"/>
    <s v="No"/>
  </r>
  <r>
    <n v="0"/>
    <s v="Bachelors"/>
    <s v="Professional"/>
    <s v="No"/>
    <n v="4"/>
    <s v="2-5 Miles"/>
    <s v="Pacific"/>
    <x v="23"/>
    <x v="0"/>
    <s v="No"/>
  </r>
  <r>
    <n v="3"/>
    <s v="Partial High School"/>
    <s v="Professional"/>
    <s v="Yes"/>
    <n v="0"/>
    <s v="10+ Miles"/>
    <s v="Europe"/>
    <x v="14"/>
    <x v="1"/>
    <s v="Yes"/>
  </r>
  <r>
    <n v="2"/>
    <s v="Partial High School"/>
    <s v="Clerical"/>
    <s v="Yes"/>
    <n v="2"/>
    <s v="5-10 Miles"/>
    <s v="Pacific"/>
    <x v="42"/>
    <x v="1"/>
    <s v="No"/>
  </r>
  <r>
    <n v="3"/>
    <s v="Graduate Degree"/>
    <s v="Clerical"/>
    <s v="Yes"/>
    <n v="0"/>
    <s v="0-1 Miles"/>
    <s v="Europe"/>
    <x v="15"/>
    <x v="0"/>
    <s v="Yes"/>
  </r>
  <r>
    <n v="1"/>
    <s v="Graduate Degree"/>
    <s v="Clerical"/>
    <s v="Yes"/>
    <n v="0"/>
    <s v="0-1 Miles"/>
    <s v="Europe"/>
    <x v="1"/>
    <x v="0"/>
    <s v="No"/>
  </r>
  <r>
    <n v="0"/>
    <s v="Graduate Degree"/>
    <s v="Skilled Manual"/>
    <s v="Yes"/>
    <n v="0"/>
    <s v="0-1 Miles"/>
    <s v="Europe"/>
    <x v="4"/>
    <x v="0"/>
    <s v="Yes"/>
  </r>
  <r>
    <n v="3"/>
    <s v="Partial College"/>
    <s v="Management"/>
    <s v="Yes"/>
    <n v="4"/>
    <s v="10+ Miles"/>
    <s v="Europe"/>
    <x v="16"/>
    <x v="1"/>
    <s v="No"/>
  </r>
  <r>
    <n v="0"/>
    <s v="Bachelors"/>
    <s v="Management"/>
    <s v="Yes"/>
    <n v="4"/>
    <s v="0-1 Miles"/>
    <s v="Pacific"/>
    <x v="34"/>
    <x v="0"/>
    <s v="Yes"/>
  </r>
  <r>
    <n v="2"/>
    <s v="Partial College"/>
    <s v="Clerical"/>
    <s v="Yes"/>
    <n v="0"/>
    <s v="0-1 Miles"/>
    <s v="Europe"/>
    <x v="1"/>
    <x v="0"/>
    <s v="No"/>
  </r>
  <r>
    <n v="1"/>
    <s v="Bachelors"/>
    <s v="Skilled Manual"/>
    <s v="Yes"/>
    <n v="1"/>
    <s v="1-2 Miles"/>
    <s v="Europe"/>
    <x v="6"/>
    <x v="0"/>
    <s v="Yes"/>
  </r>
  <r>
    <n v="2"/>
    <s v="Partial College"/>
    <s v="Manual"/>
    <s v="Yes"/>
    <n v="0"/>
    <s v="1-2 Miles"/>
    <s v="Europe"/>
    <x v="36"/>
    <x v="0"/>
    <s v="No"/>
  </r>
  <r>
    <n v="5"/>
    <s v="Bachelors"/>
    <s v="Professional"/>
    <s v="Yes"/>
    <n v="3"/>
    <s v="10+ Miles"/>
    <s v="Pacific"/>
    <x v="32"/>
    <x v="0"/>
    <s v="No"/>
  </r>
  <r>
    <n v="0"/>
    <s v="Graduate Degree"/>
    <s v="Clerical"/>
    <s v="Yes"/>
    <n v="0"/>
    <s v="0-1 Miles"/>
    <s v="Europe"/>
    <x v="34"/>
    <x v="0"/>
    <s v="Yes"/>
  </r>
  <r>
    <n v="2"/>
    <s v="Partial College"/>
    <s v="Clerical"/>
    <s v="Yes"/>
    <n v="2"/>
    <s v="0-1 Miles"/>
    <s v="Europe"/>
    <x v="0"/>
    <x v="0"/>
    <s v="No"/>
  </r>
  <r>
    <n v="5"/>
    <s v="High School"/>
    <s v="Manual"/>
    <s v="Yes"/>
    <n v="2"/>
    <s v="0-1 Miles"/>
    <s v="Europe"/>
    <x v="40"/>
    <x v="2"/>
    <s v="No"/>
  </r>
  <r>
    <n v="5"/>
    <s v="Bachelors"/>
    <s v="Professional"/>
    <s v="Yes"/>
    <n v="1"/>
    <s v="5-10 Miles"/>
    <s v="Pacific"/>
    <x v="15"/>
    <x v="0"/>
    <s v="Yes"/>
  </r>
  <r>
    <n v="5"/>
    <s v="Partial College"/>
    <s v="Skilled Manual"/>
    <s v="Yes"/>
    <n v="3"/>
    <s v="5-10 Miles"/>
    <s v="Pacific"/>
    <x v="12"/>
    <x v="0"/>
    <s v="No"/>
  </r>
  <r>
    <n v="0"/>
    <s v="Graduate Degree"/>
    <s v="Skilled Manual"/>
    <s v="No"/>
    <n v="0"/>
    <s v="0-1 Miles"/>
    <s v="Europe"/>
    <x v="34"/>
    <x v="0"/>
    <s v="Yes"/>
  </r>
  <r>
    <n v="2"/>
    <s v="Partial College"/>
    <s v="Manual"/>
    <s v="Yes"/>
    <n v="0"/>
    <s v="0-1 Miles"/>
    <s v="Europe"/>
    <x v="36"/>
    <x v="0"/>
    <s v="Yes"/>
  </r>
  <r>
    <n v="0"/>
    <s v="High School"/>
    <s v="Manual"/>
    <s v="No"/>
    <n v="1"/>
    <s v="1-2 Miles"/>
    <s v="Europe"/>
    <x v="26"/>
    <x v="2"/>
    <s v="No"/>
  </r>
  <r>
    <n v="4"/>
    <s v="Partial High School"/>
    <s v="Manual"/>
    <s v="Yes"/>
    <n v="1"/>
    <s v="0-1 Miles"/>
    <s v="Europe"/>
    <x v="8"/>
    <x v="0"/>
    <s v="Yes"/>
  </r>
  <r>
    <n v="0"/>
    <s v="High School"/>
    <s v="Manual"/>
    <s v="No"/>
    <n v="1"/>
    <s v="2-5 Miles"/>
    <s v="Europe"/>
    <x v="25"/>
    <x v="2"/>
    <s v="No"/>
  </r>
  <r>
    <n v="0"/>
    <s v="Bachelors"/>
    <s v="Clerical"/>
    <s v="No"/>
    <n v="0"/>
    <s v="0-1 Miles"/>
    <s v="Europe"/>
    <x v="4"/>
    <x v="0"/>
    <s v="Yes"/>
  </r>
  <r>
    <n v="1"/>
    <s v="Graduate Degree"/>
    <s v="Management"/>
    <s v="Yes"/>
    <n v="0"/>
    <s v="0-1 Miles"/>
    <s v="Pacific"/>
    <x v="34"/>
    <x v="0"/>
    <s v="Yes"/>
  </r>
  <r>
    <n v="2"/>
    <s v="Partial College"/>
    <s v="Manual"/>
    <s v="Yes"/>
    <n v="0"/>
    <s v="1-2 Miles"/>
    <s v="Europe"/>
    <x v="38"/>
    <x v="0"/>
    <s v="No"/>
  </r>
  <r>
    <n v="2"/>
    <s v="High School"/>
    <s v="Manual"/>
    <s v="Yes"/>
    <n v="0"/>
    <s v="0-1 Miles"/>
    <s v="Europe"/>
    <x v="34"/>
    <x v="0"/>
    <s v="Yes"/>
  </r>
  <r>
    <n v="0"/>
    <s v="High School"/>
    <s v="Management"/>
    <s v="Yes"/>
    <n v="3"/>
    <s v="10+ Miles"/>
    <s v="Pacific"/>
    <x v="11"/>
    <x v="0"/>
    <s v="Yes"/>
  </r>
  <r>
    <n v="1"/>
    <s v="Bachelors"/>
    <s v="Clerical"/>
    <s v="No"/>
    <n v="0"/>
    <s v="0-1 Miles"/>
    <s v="Europe"/>
    <x v="13"/>
    <x v="0"/>
    <s v="Yes"/>
  </r>
  <r>
    <n v="3"/>
    <s v="Partial High School"/>
    <s v="Manual"/>
    <s v="Yes"/>
    <n v="2"/>
    <s v="0-1 Miles"/>
    <s v="Europe"/>
    <x v="1"/>
    <x v="0"/>
    <s v="No"/>
  </r>
  <r>
    <n v="1"/>
    <s v="Partial College"/>
    <s v="Manual"/>
    <s v="No"/>
    <n v="0"/>
    <s v="0-1 Miles"/>
    <s v="Europe"/>
    <x v="34"/>
    <x v="0"/>
    <s v="No"/>
  </r>
  <r>
    <n v="0"/>
    <s v="Partial High School"/>
    <s v="Manual"/>
    <s v="No"/>
    <n v="2"/>
    <s v="0-1 Miles"/>
    <s v="Europe"/>
    <x v="17"/>
    <x v="0"/>
    <s v="No"/>
  </r>
  <r>
    <n v="5"/>
    <s v="Partial College"/>
    <s v="Skilled Manual"/>
    <s v="No"/>
    <n v="3"/>
    <s v="5-10 Miles"/>
    <s v="Pacific"/>
    <x v="30"/>
    <x v="0"/>
    <s v="No"/>
  </r>
  <r>
    <n v="1"/>
    <s v="Partial College"/>
    <s v="Manual"/>
    <s v="Yes"/>
    <n v="0"/>
    <s v="0-1 Miles"/>
    <s v="Europe"/>
    <x v="38"/>
    <x v="0"/>
    <s v="No"/>
  </r>
  <r>
    <n v="1"/>
    <s v="Partial College"/>
    <s v="Skilled Manual"/>
    <s v="Yes"/>
    <n v="1"/>
    <s v="5-10 Miles"/>
    <s v="Pacific"/>
    <x v="12"/>
    <x v="0"/>
    <s v="No"/>
  </r>
  <r>
    <n v="1"/>
    <s v="Bachelors"/>
    <s v="Management"/>
    <s v="Yes"/>
    <n v="4"/>
    <s v="2-5 Miles"/>
    <s v="Pacific"/>
    <x v="28"/>
    <x v="0"/>
    <s v="No"/>
  </r>
  <r>
    <n v="3"/>
    <s v="Graduate Degree"/>
    <s v="Clerical"/>
    <s v="No"/>
    <n v="0"/>
    <s v="0-1 Miles"/>
    <s v="Europe"/>
    <x v="30"/>
    <x v="0"/>
    <s v="Yes"/>
  </r>
  <r>
    <n v="0"/>
    <s v="Graduate Degree"/>
    <s v="Management"/>
    <s v="Yes"/>
    <n v="0"/>
    <s v="5-10 Miles"/>
    <s v="Pacific"/>
    <x v="28"/>
    <x v="0"/>
    <s v="No"/>
  </r>
  <r>
    <n v="3"/>
    <s v="High School"/>
    <s v="Skilled Manual"/>
    <s v="Yes"/>
    <n v="2"/>
    <s v="5-10 Miles"/>
    <s v="Pacific"/>
    <x v="9"/>
    <x v="0"/>
    <s v="Yes"/>
  </r>
  <r>
    <n v="1"/>
    <s v="Partial College"/>
    <s v="Skilled Manual"/>
    <s v="No"/>
    <n v="1"/>
    <s v="0-1 Miles"/>
    <s v="Pacific"/>
    <x v="30"/>
    <x v="0"/>
    <s v="Yes"/>
  </r>
  <r>
    <n v="0"/>
    <s v="Bachelors"/>
    <s v="Clerical"/>
    <s v="No"/>
    <n v="0"/>
    <s v="0-1 Miles"/>
    <s v="Europe"/>
    <x v="13"/>
    <x v="0"/>
    <s v="Yes"/>
  </r>
  <r>
    <n v="1"/>
    <s v="Bachelors"/>
    <s v="Skilled Manual"/>
    <s v="Yes"/>
    <n v="0"/>
    <s v="0-1 Miles"/>
    <s v="Europe"/>
    <x v="0"/>
    <x v="0"/>
    <s v="Yes"/>
  </r>
  <r>
    <n v="1"/>
    <s v="High School"/>
    <s v="Manual"/>
    <s v="No"/>
    <n v="1"/>
    <s v="2-5 Miles"/>
    <s v="Europe"/>
    <x v="30"/>
    <x v="0"/>
    <s v="Yes"/>
  </r>
  <r>
    <n v="0"/>
    <s v="Partial College"/>
    <s v="Manual"/>
    <s v="No"/>
    <n v="1"/>
    <s v="2-5 Miles"/>
    <s v="Europe"/>
    <x v="4"/>
    <x v="0"/>
    <s v="Yes"/>
  </r>
  <r>
    <n v="0"/>
    <s v="Partial College"/>
    <s v="Management"/>
    <s v="Yes"/>
    <n v="3"/>
    <s v="10+ Miles"/>
    <s v="Pacific"/>
    <x v="21"/>
    <x v="0"/>
    <s v="Yes"/>
  </r>
  <r>
    <n v="2"/>
    <s v="Bachelors"/>
    <s v="Professional"/>
    <s v="No"/>
    <n v="1"/>
    <s v="0-1 Miles"/>
    <s v="Pacific"/>
    <x v="32"/>
    <x v="0"/>
    <s v="Yes"/>
  </r>
  <r>
    <n v="1"/>
    <s v="Graduate Degree"/>
    <s v="Management"/>
    <s v="Yes"/>
    <n v="0"/>
    <s v="2-5 Miles"/>
    <s v="Pacific"/>
    <x v="4"/>
    <x v="0"/>
    <s v="Yes"/>
  </r>
  <r>
    <n v="4"/>
    <s v="High School"/>
    <s v="Professional"/>
    <s v="No"/>
    <n v="2"/>
    <s v="2-5 Miles"/>
    <s v="Europe"/>
    <x v="9"/>
    <x v="0"/>
    <s v="Yes"/>
  </r>
  <r>
    <n v="2"/>
    <s v="Partial College"/>
    <s v="Clerical"/>
    <s v="No"/>
    <n v="2"/>
    <s v="5-10 Miles"/>
    <s v="Pacific"/>
    <x v="45"/>
    <x v="1"/>
    <s v="No"/>
  </r>
  <r>
    <n v="5"/>
    <s v="High School"/>
    <s v="Skilled Manual"/>
    <s v="No"/>
    <n v="2"/>
    <s v="1-2 Miles"/>
    <s v="Pacific"/>
    <x v="24"/>
    <x v="1"/>
    <s v="No"/>
  </r>
  <r>
    <n v="0"/>
    <s v="Bachelors"/>
    <s v="Clerical"/>
    <s v="No"/>
    <n v="0"/>
    <s v="0-1 Miles"/>
    <s v="Pacific"/>
    <x v="26"/>
    <x v="2"/>
    <s v="Yes"/>
  </r>
  <r>
    <n v="1"/>
    <s v="Bachelors"/>
    <s v="Clerical"/>
    <s v="Yes"/>
    <n v="0"/>
    <s v="0-1 Miles"/>
    <s v="Europe"/>
    <x v="24"/>
    <x v="1"/>
    <s v="Yes"/>
  </r>
  <r>
    <n v="1"/>
    <s v="Bachelors"/>
    <s v="Skilled Manual"/>
    <s v="Yes"/>
    <n v="2"/>
    <s v="0-1 Miles"/>
    <s v="Europe"/>
    <x v="8"/>
    <x v="0"/>
    <s v="No"/>
  </r>
  <r>
    <n v="4"/>
    <s v="Graduate Degree"/>
    <s v="Management"/>
    <s v="Yes"/>
    <n v="1"/>
    <s v="0-1 Miles"/>
    <s v="Pacific"/>
    <x v="4"/>
    <x v="0"/>
    <s v="Yes"/>
  </r>
  <r>
    <n v="2"/>
    <s v="Partial High School"/>
    <s v="Clerical"/>
    <s v="Yes"/>
    <n v="2"/>
    <s v="5-10 Miles"/>
    <s v="Pacific"/>
    <x v="7"/>
    <x v="1"/>
    <s v="No"/>
  </r>
  <r>
    <n v="2"/>
    <s v="Bachelors"/>
    <s v="Professional"/>
    <s v="Yes"/>
    <n v="0"/>
    <s v="1-2 Miles"/>
    <s v="Pacific"/>
    <x v="8"/>
    <x v="0"/>
    <s v="Yes"/>
  </r>
  <r>
    <n v="2"/>
    <s v="Bachelors"/>
    <s v="Clerical"/>
    <s v="Yes"/>
    <n v="1"/>
    <s v="0-1 Miles"/>
    <s v="Europe"/>
    <x v="29"/>
    <x v="1"/>
    <s v="No"/>
  </r>
  <r>
    <n v="2"/>
    <s v="Partial College"/>
    <s v="Clerical"/>
    <s v="Yes"/>
    <n v="1"/>
    <s v="1-2 Miles"/>
    <s v="Europe"/>
    <x v="11"/>
    <x v="0"/>
    <s v="Yes"/>
  </r>
  <r>
    <n v="2"/>
    <s v="Partial College"/>
    <s v="Manual"/>
    <s v="Yes"/>
    <n v="1"/>
    <s v="2-5 Miles"/>
    <s v="Europe"/>
    <x v="15"/>
    <x v="0"/>
    <s v="Yes"/>
  </r>
  <r>
    <n v="4"/>
    <s v="Bachelors"/>
    <s v="Management"/>
    <s v="Yes"/>
    <n v="1"/>
    <s v="2-5 Miles"/>
    <s v="Pacific"/>
    <x v="15"/>
    <x v="0"/>
    <s v="No"/>
  </r>
  <r>
    <n v="1"/>
    <s v="Partial College"/>
    <s v="Skilled Manual"/>
    <s v="Yes"/>
    <n v="1"/>
    <s v="5-10 Miles"/>
    <s v="Pacific"/>
    <x v="30"/>
    <x v="0"/>
    <s v="No"/>
  </r>
  <r>
    <n v="4"/>
    <s v="High School"/>
    <s v="Skilled Manual"/>
    <s v="Yes"/>
    <n v="2"/>
    <s v="5-10 Miles"/>
    <s v="Pacific"/>
    <x v="7"/>
    <x v="1"/>
    <s v="Yes"/>
  </r>
  <r>
    <n v="3"/>
    <s v="Partial High School"/>
    <s v="Clerical"/>
    <s v="No"/>
    <n v="2"/>
    <s v="5-10 Miles"/>
    <s v="Pacific"/>
    <x v="31"/>
    <x v="0"/>
    <s v="Yes"/>
  </r>
  <r>
    <n v="5"/>
    <s v="Bachelors"/>
    <s v="Professional"/>
    <s v="No"/>
    <n v="1"/>
    <s v="0-1 Miles"/>
    <s v="Pacific"/>
    <x v="15"/>
    <x v="0"/>
    <s v="Yes"/>
  </r>
  <r>
    <n v="0"/>
    <s v="Bachelors"/>
    <s v="Professional"/>
    <s v="No"/>
    <n v="1"/>
    <s v="5-10 Miles"/>
    <s v="Pacific"/>
    <x v="3"/>
    <x v="0"/>
    <s v="No"/>
  </r>
  <r>
    <n v="2"/>
    <s v="Graduate Degree"/>
    <s v="Management"/>
    <s v="Yes"/>
    <n v="1"/>
    <s v="5-10 Miles"/>
    <s v="Pacific"/>
    <x v="46"/>
    <x v="1"/>
    <s v="Yes"/>
  </r>
  <r>
    <n v="0"/>
    <s v="Bachelors"/>
    <s v="Clerical"/>
    <s v="Yes"/>
    <n v="0"/>
    <s v="0-1 Miles"/>
    <s v="Europe"/>
    <x v="11"/>
    <x v="0"/>
    <s v="Yes"/>
  </r>
  <r>
    <n v="4"/>
    <s v="Partial College"/>
    <s v="Professional"/>
    <s v="No"/>
    <n v="3"/>
    <s v="10+ Miles"/>
    <s v="Europe"/>
    <x v="9"/>
    <x v="0"/>
    <s v="No"/>
  </r>
  <r>
    <n v="3"/>
    <s v="Bachelors"/>
    <s v="Clerical"/>
    <s v="Yes"/>
    <n v="0"/>
    <s v="0-1 Miles"/>
    <s v="Europe"/>
    <x v="12"/>
    <x v="0"/>
    <s v="No"/>
  </r>
  <r>
    <n v="0"/>
    <s v="Graduate Degree"/>
    <s v="Management"/>
    <s v="Yes"/>
    <n v="0"/>
    <s v="2-5 Miles"/>
    <s v="Pacific"/>
    <x v="8"/>
    <x v="0"/>
    <s v="Yes"/>
  </r>
  <r>
    <n v="0"/>
    <s v="Graduate Degree"/>
    <s v="Management"/>
    <s v="No"/>
    <n v="3"/>
    <s v="0-1 Miles"/>
    <s v="Pacific"/>
    <x v="15"/>
    <x v="0"/>
    <s v="Yes"/>
  </r>
  <r>
    <n v="4"/>
    <s v="Partial High School"/>
    <s v="Manual"/>
    <s v="Yes"/>
    <n v="2"/>
    <s v="0-1 Miles"/>
    <s v="Europe"/>
    <x v="3"/>
    <x v="0"/>
    <s v="Yes"/>
  </r>
  <r>
    <n v="0"/>
    <s v="Graduate Degree"/>
    <s v="Clerical"/>
    <s v="No"/>
    <n v="0"/>
    <s v="0-1 Miles"/>
    <s v="Europe"/>
    <x v="34"/>
    <x v="0"/>
    <s v="Yes"/>
  </r>
  <r>
    <n v="4"/>
    <s v="Bachelors"/>
    <s v="Professional"/>
    <s v="Yes"/>
    <n v="0"/>
    <s v="1-2 Miles"/>
    <s v="Pacific"/>
    <x v="13"/>
    <x v="0"/>
    <s v="Yes"/>
  </r>
  <r>
    <n v="2"/>
    <s v="Partial College"/>
    <s v="Clerical"/>
    <s v="No"/>
    <n v="2"/>
    <s v="0-1 Miles"/>
    <s v="Europe"/>
    <x v="4"/>
    <x v="0"/>
    <s v="Yes"/>
  </r>
  <r>
    <n v="0"/>
    <s v="Bachelors"/>
    <s v="Clerical"/>
    <s v="No"/>
    <n v="0"/>
    <s v="0-1 Miles"/>
    <s v="Pacific"/>
    <x v="22"/>
    <x v="2"/>
    <s v="Yes"/>
  </r>
  <r>
    <n v="1"/>
    <s v="Bachelors"/>
    <s v="Skilled Manual"/>
    <s v="Yes"/>
    <n v="2"/>
    <s v="0-1 Miles"/>
    <s v="Europe"/>
    <x v="8"/>
    <x v="0"/>
    <s v="No"/>
  </r>
  <r>
    <n v="2"/>
    <s v="Partial College"/>
    <s v="Clerical"/>
    <s v="Yes"/>
    <n v="2"/>
    <s v="1-2 Miles"/>
    <s v="Europe"/>
    <x v="4"/>
    <x v="0"/>
    <s v="No"/>
  </r>
  <r>
    <n v="5"/>
    <s v="Partial High School"/>
    <s v="Skilled Manual"/>
    <s v="Yes"/>
    <n v="2"/>
    <s v="10+ Miles"/>
    <s v="Europe"/>
    <x v="14"/>
    <x v="1"/>
    <s v="No"/>
  </r>
  <r>
    <n v="0"/>
    <s v="Bachelors"/>
    <s v="Professional"/>
    <s v="Yes"/>
    <n v="3"/>
    <s v="10+ Miles"/>
    <s v="Pacific"/>
    <x v="21"/>
    <x v="0"/>
    <s v="No"/>
  </r>
  <r>
    <n v="0"/>
    <s v="Partial High School"/>
    <s v="Manual"/>
    <s v="No"/>
    <n v="2"/>
    <s v="0-1 Miles"/>
    <s v="Europe"/>
    <x v="25"/>
    <x v="2"/>
    <s v="No"/>
  </r>
  <r>
    <n v="0"/>
    <s v="Partial High School"/>
    <s v="Manual"/>
    <s v="No"/>
    <n v="2"/>
    <s v="1-2 Miles"/>
    <s v="Europe"/>
    <x v="11"/>
    <x v="0"/>
    <s v="Yes"/>
  </r>
  <r>
    <n v="3"/>
    <s v="High School"/>
    <s v="Professional"/>
    <s v="Yes"/>
    <n v="4"/>
    <s v="5-10 Miles"/>
    <s v="Europe"/>
    <x v="36"/>
    <x v="0"/>
    <s v="Yes"/>
  </r>
  <r>
    <n v="2"/>
    <s v="Bachelors"/>
    <s v="Professional"/>
    <s v="Yes"/>
    <n v="1"/>
    <s v="5-10 Miles"/>
    <s v="Pacific"/>
    <x v="15"/>
    <x v="0"/>
    <s v="No"/>
  </r>
  <r>
    <n v="5"/>
    <s v="Graduate Degree"/>
    <s v="Management"/>
    <s v="No"/>
    <n v="2"/>
    <s v="0-1 Miles"/>
    <s v="Pacific"/>
    <x v="32"/>
    <x v="0"/>
    <s v="No"/>
  </r>
  <r>
    <n v="0"/>
    <s v="Partial High School"/>
    <s v="Manual"/>
    <s v="No"/>
    <n v="2"/>
    <s v="0-1 Miles"/>
    <s v="Europe"/>
    <x v="17"/>
    <x v="0"/>
    <s v="No"/>
  </r>
  <r>
    <n v="0"/>
    <s v="Partial High School"/>
    <s v="Manual"/>
    <s v="Yes"/>
    <n v="2"/>
    <s v="0-1 Miles"/>
    <s v="Europe"/>
    <x v="21"/>
    <x v="0"/>
    <s v="No"/>
  </r>
  <r>
    <n v="3"/>
    <s v="High School"/>
    <s v="Professional"/>
    <s v="Yes"/>
    <n v="4"/>
    <s v="5-10 Miles"/>
    <s v="Europe"/>
    <x v="5"/>
    <x v="0"/>
    <s v="Yes"/>
  </r>
  <r>
    <n v="1"/>
    <s v="Bachelors"/>
    <s v="Clerical"/>
    <s v="Yes"/>
    <n v="0"/>
    <s v="0-1 Miles"/>
    <s v="Europe"/>
    <x v="29"/>
    <x v="1"/>
    <s v="No"/>
  </r>
  <r>
    <n v="0"/>
    <s v="Partial College"/>
    <s v="Clerical"/>
    <s v="Yes"/>
    <n v="1"/>
    <s v="2-5 Miles"/>
    <s v="Europe"/>
    <x v="25"/>
    <x v="2"/>
    <s v="No"/>
  </r>
  <r>
    <n v="0"/>
    <s v="High School"/>
    <s v="Manual"/>
    <s v="No"/>
    <n v="1"/>
    <s v="2-5 Miles"/>
    <s v="Europe"/>
    <x v="21"/>
    <x v="0"/>
    <s v="Yes"/>
  </r>
  <r>
    <n v="0"/>
    <s v="Partial High School"/>
    <s v="Manual"/>
    <s v="Yes"/>
    <n v="2"/>
    <s v="1-2 Miles"/>
    <s v="Europe"/>
    <x v="11"/>
    <x v="0"/>
    <s v="No"/>
  </r>
  <r>
    <n v="0"/>
    <s v="High School"/>
    <s v="Manual"/>
    <s v="No"/>
    <n v="1"/>
    <s v="2-5 Miles"/>
    <s v="Europe"/>
    <x v="21"/>
    <x v="0"/>
    <s v="No"/>
  </r>
  <r>
    <n v="0"/>
    <s v="Partial College"/>
    <s v="Clerical"/>
    <s v="No"/>
    <n v="1"/>
    <s v="2-5 Miles"/>
    <s v="Europe"/>
    <x v="23"/>
    <x v="0"/>
    <s v="Yes"/>
  </r>
  <r>
    <n v="1"/>
    <s v="Bachelors"/>
    <s v="Clerical"/>
    <s v="Yes"/>
    <n v="0"/>
    <s v="0-1 Miles"/>
    <s v="Europe"/>
    <x v="5"/>
    <x v="0"/>
    <s v="Yes"/>
  </r>
  <r>
    <n v="1"/>
    <s v="Bachelors"/>
    <s v="Skilled Manual"/>
    <s v="No"/>
    <n v="0"/>
    <s v="0-1 Miles"/>
    <s v="Europe"/>
    <x v="1"/>
    <x v="0"/>
    <s v="Yes"/>
  </r>
  <r>
    <n v="1"/>
    <s v="Partial College"/>
    <s v="Skilled Manual"/>
    <s v="No"/>
    <n v="1"/>
    <s v="0-1 Miles"/>
    <s v="Pacific"/>
    <x v="12"/>
    <x v="0"/>
    <s v="Yes"/>
  </r>
  <r>
    <n v="2"/>
    <s v="High School"/>
    <s v="Manual"/>
    <s v="Yes"/>
    <n v="2"/>
    <s v="0-1 Miles"/>
    <s v="Europe"/>
    <x v="0"/>
    <x v="0"/>
    <s v="No"/>
  </r>
  <r>
    <n v="0"/>
    <s v="Partial College"/>
    <s v="Clerical"/>
    <s v="No"/>
    <n v="1"/>
    <s v="0-1 Miles"/>
    <s v="Europe"/>
    <x v="19"/>
    <x v="2"/>
    <s v="Yes"/>
  </r>
  <r>
    <n v="0"/>
    <s v="Partial College"/>
    <s v="Manual"/>
    <s v="No"/>
    <n v="0"/>
    <s v="0-1 Miles"/>
    <s v="Pacific"/>
    <x v="26"/>
    <x v="2"/>
    <s v="Yes"/>
  </r>
  <r>
    <n v="3"/>
    <s v="High School"/>
    <s v="Manual"/>
    <s v="Yes"/>
    <n v="0"/>
    <s v="0-1 Miles"/>
    <s v="Europe"/>
    <x v="34"/>
    <x v="0"/>
    <s v="Yes"/>
  </r>
  <r>
    <n v="4"/>
    <s v="Partial College"/>
    <s v="Professional"/>
    <s v="Yes"/>
    <n v="2"/>
    <s v="2-5 Miles"/>
    <s v="Europe"/>
    <x v="39"/>
    <x v="0"/>
    <s v="No"/>
  </r>
  <r>
    <n v="0"/>
    <s v="Graduate Degree"/>
    <s v="Clerical"/>
    <s v="No"/>
    <n v="0"/>
    <s v="0-1 Miles"/>
    <s v="Europe"/>
    <x v="13"/>
    <x v="0"/>
    <s v="Yes"/>
  </r>
  <r>
    <n v="1"/>
    <s v="Bachelors"/>
    <s v="Clerical"/>
    <s v="No"/>
    <n v="1"/>
    <s v="1-2 Miles"/>
    <s v="Europe"/>
    <x v="32"/>
    <x v="0"/>
    <s v="No"/>
  </r>
  <r>
    <n v="0"/>
    <s v="Bachelors"/>
    <s v="Professional"/>
    <s v="Yes"/>
    <n v="3"/>
    <s v="10+ Miles"/>
    <s v="Pacific"/>
    <x v="21"/>
    <x v="0"/>
    <s v="No"/>
  </r>
  <r>
    <n v="3"/>
    <s v="High School"/>
    <s v="Professional"/>
    <s v="Yes"/>
    <n v="3"/>
    <s v="0-1 Miles"/>
    <s v="Europe"/>
    <x v="36"/>
    <x v="0"/>
    <s v="Yes"/>
  </r>
  <r>
    <n v="0"/>
    <s v="Partial High School"/>
    <s v="Manual"/>
    <s v="Yes"/>
    <n v="2"/>
    <s v="1-2 Miles"/>
    <s v="Europe"/>
    <x v="6"/>
    <x v="0"/>
    <s v="No"/>
  </r>
  <r>
    <n v="4"/>
    <s v="High School"/>
    <s v="Management"/>
    <s v="Yes"/>
    <n v="3"/>
    <s v="5-10 Miles"/>
    <s v="Europe"/>
    <x v="7"/>
    <x v="1"/>
    <s v="Yes"/>
  </r>
  <r>
    <n v="0"/>
    <s v="Bachelors"/>
    <s v="Professional"/>
    <s v="Yes"/>
    <n v="3"/>
    <s v="10+ Miles"/>
    <s v="Pacific"/>
    <x v="25"/>
    <x v="2"/>
    <s v="No"/>
  </r>
  <r>
    <n v="0"/>
    <s v="Graduate Degree"/>
    <s v="Management"/>
    <s v="Yes"/>
    <n v="0"/>
    <s v="2-5 Miles"/>
    <s v="Pacific"/>
    <x v="28"/>
    <x v="0"/>
    <s v="Yes"/>
  </r>
  <r>
    <n v="3"/>
    <s v="Partial College"/>
    <s v="Clerical"/>
    <s v="No"/>
    <n v="2"/>
    <s v="0-1 Miles"/>
    <s v="Europe"/>
    <x v="40"/>
    <x v="2"/>
    <s v="Yes"/>
  </r>
  <r>
    <n v="1"/>
    <s v="Bachelors"/>
    <s v="Skilled Manual"/>
    <s v="Yes"/>
    <n v="1"/>
    <s v="0-1 Miles"/>
    <s v="Europe"/>
    <x v="6"/>
    <x v="0"/>
    <s v="Yes"/>
  </r>
  <r>
    <n v="2"/>
    <s v="Bachelors"/>
    <s v="Management"/>
    <s v="Yes"/>
    <n v="2"/>
    <s v="0-1 Miles"/>
    <s v="Pacific"/>
    <x v="29"/>
    <x v="1"/>
    <s v="Yes"/>
  </r>
  <r>
    <n v="2"/>
    <s v="High School"/>
    <s v="Manual"/>
    <s v="Yes"/>
    <n v="1"/>
    <s v="0-1 Miles"/>
    <s v="Europe"/>
    <x v="13"/>
    <x v="0"/>
    <s v="Yes"/>
  </r>
  <r>
    <n v="0"/>
    <s v="Bachelors"/>
    <s v="Clerical"/>
    <s v="No"/>
    <n v="0"/>
    <s v="0-1 Miles"/>
    <s v="Europe"/>
    <x v="13"/>
    <x v="0"/>
    <s v="Yes"/>
  </r>
  <r>
    <n v="1"/>
    <s v="Partial College"/>
    <s v="Skilled Manual"/>
    <s v="Yes"/>
    <n v="1"/>
    <s v="0-1 Miles"/>
    <s v="Pacific"/>
    <x v="12"/>
    <x v="0"/>
    <s v="Yes"/>
  </r>
  <r>
    <n v="3"/>
    <s v="Partial College"/>
    <s v="Professional"/>
    <s v="Yes"/>
    <n v="3"/>
    <s v="5-10 Miles"/>
    <s v="Europe"/>
    <x v="5"/>
    <x v="0"/>
    <s v="Yes"/>
  </r>
  <r>
    <n v="2"/>
    <s v="Partial College"/>
    <s v="Clerical"/>
    <s v="No"/>
    <n v="2"/>
    <s v="5-10 Miles"/>
    <s v="Pacific"/>
    <x v="2"/>
    <x v="1"/>
    <s v="Yes"/>
  </r>
  <r>
    <n v="2"/>
    <s v="Partial College"/>
    <s v="Manual"/>
    <s v="No"/>
    <n v="1"/>
    <s v="0-1 Miles"/>
    <s v="Europe"/>
    <x v="39"/>
    <x v="0"/>
    <s v="Yes"/>
  </r>
  <r>
    <n v="4"/>
    <s v="Bachelors"/>
    <s v="Professional"/>
    <s v="Yes"/>
    <n v="1"/>
    <s v="10+ Miles"/>
    <s v="Pacific"/>
    <x v="30"/>
    <x v="0"/>
    <s v="No"/>
  </r>
  <r>
    <n v="5"/>
    <s v="Graduate Degree"/>
    <s v="Management"/>
    <s v="Yes"/>
    <n v="3"/>
    <s v="0-1 Miles"/>
    <s v="Pacific"/>
    <x v="5"/>
    <x v="0"/>
    <s v="No"/>
  </r>
  <r>
    <n v="1"/>
    <s v="Bachelors"/>
    <s v="Skilled Manual"/>
    <s v="Yes"/>
    <n v="1"/>
    <s v="0-1 Miles"/>
    <s v="Europe"/>
    <x v="1"/>
    <x v="0"/>
    <s v="Yes"/>
  </r>
  <r>
    <n v="0"/>
    <s v="High School"/>
    <s v="Manual"/>
    <s v="No"/>
    <n v="1"/>
    <s v="2-5 Miles"/>
    <s v="Europe"/>
    <x v="25"/>
    <x v="2"/>
    <s v="No"/>
  </r>
  <r>
    <n v="5"/>
    <s v="Bachelors"/>
    <s v="Professional"/>
    <s v="Yes"/>
    <n v="4"/>
    <s v="1-2 Miles"/>
    <s v="Pacific"/>
    <x v="13"/>
    <x v="0"/>
    <s v="No"/>
  </r>
  <r>
    <n v="1"/>
    <s v="Bachelors"/>
    <s v="Skilled Manual"/>
    <s v="Yes"/>
    <n v="1"/>
    <s v="0-1 Miles"/>
    <s v="Europe"/>
    <x v="47"/>
    <x v="1"/>
    <s v="No"/>
  </r>
  <r>
    <n v="1"/>
    <s v="Bachelors"/>
    <s v="Clerical"/>
    <s v="Yes"/>
    <n v="0"/>
    <s v="0-1 Miles"/>
    <s v="Europe"/>
    <x v="46"/>
    <x v="1"/>
    <s v="Yes"/>
  </r>
  <r>
    <n v="3"/>
    <s v="Partial College"/>
    <s v="Professional"/>
    <s v="No"/>
    <n v="3"/>
    <s v="5-10 Miles"/>
    <s v="Europe"/>
    <x v="36"/>
    <x v="0"/>
    <s v="Yes"/>
  </r>
  <r>
    <n v="3"/>
    <s v="Partial College"/>
    <s v="Clerical"/>
    <s v="No"/>
    <n v="2"/>
    <s v="5-10 Miles"/>
    <s v="Pacific"/>
    <x v="16"/>
    <x v="1"/>
    <s v="No"/>
  </r>
  <r>
    <n v="3"/>
    <s v="Bachelors"/>
    <s v="Professional"/>
    <s v="Yes"/>
    <n v="2"/>
    <s v="5-10 Miles"/>
    <s v="Pacific"/>
    <x v="1"/>
    <x v="0"/>
    <s v="No"/>
  </r>
  <r>
    <n v="0"/>
    <s v="Bachelors"/>
    <s v="Professional"/>
    <s v="No"/>
    <n v="3"/>
    <s v="10+ Miles"/>
    <s v="Pacific"/>
    <x v="25"/>
    <x v="2"/>
    <s v="Yes"/>
  </r>
  <r>
    <n v="2"/>
    <s v="Partial College"/>
    <s v="Clerical"/>
    <s v="Yes"/>
    <n v="2"/>
    <s v="5-10 Miles"/>
    <s v="Pacific"/>
    <x v="45"/>
    <x v="1"/>
    <s v="No"/>
  </r>
  <r>
    <n v="4"/>
    <s v="Partial College"/>
    <s v="Professional"/>
    <s v="Yes"/>
    <n v="2"/>
    <s v="10+ Miles"/>
    <s v="Europe"/>
    <x v="39"/>
    <x v="0"/>
    <s v="No"/>
  </r>
  <r>
    <n v="0"/>
    <s v="Graduate Degree"/>
    <s v="Clerical"/>
    <s v="Yes"/>
    <n v="0"/>
    <s v="0-1 Miles"/>
    <s v="Europe"/>
    <x v="34"/>
    <x v="0"/>
    <s v="Yes"/>
  </r>
  <r>
    <n v="0"/>
    <s v="Partial College"/>
    <s v="Manual"/>
    <s v="No"/>
    <n v="1"/>
    <s v="0-1 Miles"/>
    <s v="Pacific"/>
    <x v="26"/>
    <x v="2"/>
    <s v="Yes"/>
  </r>
  <r>
    <n v="3"/>
    <s v="Partial College"/>
    <s v="Clerical"/>
    <s v="Yes"/>
    <n v="0"/>
    <s v="0-1 Miles"/>
    <s v="Europe"/>
    <x v="1"/>
    <x v="0"/>
    <s v="No"/>
  </r>
  <r>
    <n v="0"/>
    <s v="Partial High School"/>
    <s v="Professional"/>
    <s v="Yes"/>
    <n v="4"/>
    <s v="10+ Miles"/>
    <s v="Pacific"/>
    <x v="17"/>
    <x v="0"/>
    <s v="Yes"/>
  </r>
  <r>
    <n v="0"/>
    <s v="Partial High School"/>
    <s v="Manual"/>
    <s v="No"/>
    <n v="2"/>
    <s v="1-2 Miles"/>
    <s v="Europe"/>
    <x v="17"/>
    <x v="0"/>
    <s v="Yes"/>
  </r>
  <r>
    <n v="1"/>
    <s v="Bachelors"/>
    <s v="Clerical"/>
    <s v="Yes"/>
    <n v="0"/>
    <s v="0-1 Miles"/>
    <s v="Europe"/>
    <x v="46"/>
    <x v="1"/>
    <s v="No"/>
  </r>
  <r>
    <n v="0"/>
    <s v="Bachelors"/>
    <s v="Professional"/>
    <s v="Yes"/>
    <n v="1"/>
    <s v="1-2 Miles"/>
    <s v="Pacific"/>
    <x v="3"/>
    <x v="0"/>
    <s v="Yes"/>
  </r>
  <r>
    <n v="0"/>
    <s v="Bachelors"/>
    <s v="Professional"/>
    <s v="No"/>
    <n v="1"/>
    <s v="5-10 Miles"/>
    <s v="Pacific"/>
    <x v="13"/>
    <x v="0"/>
    <s v="No"/>
  </r>
  <r>
    <n v="0"/>
    <s v="Bachelors"/>
    <s v="Professional"/>
    <s v="No"/>
    <n v="1"/>
    <s v="0-1 Miles"/>
    <s v="Pacific"/>
    <x v="3"/>
    <x v="0"/>
    <s v="Yes"/>
  </r>
  <r>
    <n v="1"/>
    <s v="Bachelors"/>
    <s v="Clerical"/>
    <s v="No"/>
    <n v="0"/>
    <s v="0-1 Miles"/>
    <s v="Europe"/>
    <x v="36"/>
    <x v="0"/>
    <s v="No"/>
  </r>
  <r>
    <n v="0"/>
    <s v="Partial High School"/>
    <s v="Manual"/>
    <s v="Yes"/>
    <n v="2"/>
    <s v="1-2 Miles"/>
    <s v="Europe"/>
    <x v="21"/>
    <x v="0"/>
    <s v="No"/>
  </r>
  <r>
    <n v="0"/>
    <s v="Bachelors"/>
    <s v="Clerical"/>
    <s v="Yes"/>
    <n v="0"/>
    <s v="0-1 Miles"/>
    <s v="Europe"/>
    <x v="13"/>
    <x v="0"/>
    <s v="Yes"/>
  </r>
  <r>
    <n v="1"/>
    <s v="Bachelors"/>
    <s v="Clerical"/>
    <s v="Yes"/>
    <n v="0"/>
    <s v="0-1 Miles"/>
    <s v="Europe"/>
    <x v="13"/>
    <x v="0"/>
    <s v="Yes"/>
  </r>
  <r>
    <n v="2"/>
    <s v="Bachelors"/>
    <s v="Professional"/>
    <s v="Yes"/>
    <n v="1"/>
    <s v="2-5 Miles"/>
    <s v="Pacific"/>
    <x v="13"/>
    <x v="0"/>
    <s v="Yes"/>
  </r>
  <r>
    <n v="2"/>
    <s v="Partial High School"/>
    <s v="Clerical"/>
    <s v="Yes"/>
    <n v="2"/>
    <s v="5-10 Miles"/>
    <s v="Pacific"/>
    <x v="7"/>
    <x v="1"/>
    <s v="No"/>
  </r>
  <r>
    <n v="1"/>
    <s v="Bachelors"/>
    <s v="Clerical"/>
    <s v="Yes"/>
    <n v="1"/>
    <s v="1-2 Miles"/>
    <s v="Europe"/>
    <x v="32"/>
    <x v="0"/>
    <s v="Yes"/>
  </r>
  <r>
    <n v="2"/>
    <s v="Bachelors"/>
    <s v="Management"/>
    <s v="No"/>
    <n v="1"/>
    <s v="5-10 Miles"/>
    <s v="Pacific"/>
    <x v="39"/>
    <x v="0"/>
    <s v="Yes"/>
  </r>
  <r>
    <n v="3"/>
    <s v="Bachelors"/>
    <s v="Management"/>
    <s v="Yes"/>
    <n v="4"/>
    <s v="10+ Miles"/>
    <s v="Europe"/>
    <x v="39"/>
    <x v="0"/>
    <s v="No"/>
  </r>
  <r>
    <n v="1"/>
    <s v="Bachelors"/>
    <s v="Clerical"/>
    <s v="Yes"/>
    <n v="0"/>
    <s v="0-1 Miles"/>
    <s v="Europe"/>
    <x v="48"/>
    <x v="1"/>
    <s v="No"/>
  </r>
  <r>
    <n v="1"/>
    <s v="Graduate Degree"/>
    <s v="Manual"/>
    <s v="Yes"/>
    <n v="0"/>
    <s v="0-1 Miles"/>
    <s v="Europe"/>
    <x v="20"/>
    <x v="0"/>
    <s v="No"/>
  </r>
  <r>
    <n v="1"/>
    <s v="Graduate Degree"/>
    <s v="Clerical"/>
    <s v="Yes"/>
    <n v="0"/>
    <s v="0-1 Miles"/>
    <s v="Europe"/>
    <x v="20"/>
    <x v="0"/>
    <s v="No"/>
  </r>
  <r>
    <n v="3"/>
    <s v="High School"/>
    <s v="Skilled Manual"/>
    <s v="Yes"/>
    <n v="2"/>
    <s v="5-10 Miles"/>
    <s v="Pacific"/>
    <x v="9"/>
    <x v="0"/>
    <s v="Yes"/>
  </r>
  <r>
    <n v="0"/>
    <s v="Bachelors"/>
    <s v="Clerical"/>
    <s v="Yes"/>
    <n v="0"/>
    <s v="0-1 Miles"/>
    <s v="Europe"/>
    <x v="34"/>
    <x v="0"/>
    <s v="Yes"/>
  </r>
  <r>
    <n v="1"/>
    <s v="Bachelors"/>
    <s v="Skilled Manual"/>
    <s v="Yes"/>
    <n v="0"/>
    <s v="0-1 Miles"/>
    <s v="Europe"/>
    <x v="3"/>
    <x v="0"/>
    <s v="No"/>
  </r>
  <r>
    <n v="2"/>
    <s v="Bachelors"/>
    <s v="Professional"/>
    <s v="No"/>
    <n v="0"/>
    <s v="0-1 Miles"/>
    <s v="Pacific"/>
    <x v="4"/>
    <x v="0"/>
    <s v="Yes"/>
  </r>
  <r>
    <n v="2"/>
    <s v="Partial College"/>
    <s v="Clerical"/>
    <s v="Yes"/>
    <n v="0"/>
    <s v="0-1 Miles"/>
    <s v="Europe"/>
    <x v="6"/>
    <x v="0"/>
    <s v="No"/>
  </r>
  <r>
    <n v="3"/>
    <s v="Partial College"/>
    <s v="Professional"/>
    <s v="Yes"/>
    <n v="4"/>
    <s v="0-1 Miles"/>
    <s v="Europe"/>
    <x v="31"/>
    <x v="0"/>
    <s v="No"/>
  </r>
  <r>
    <n v="2"/>
    <s v="Partial College"/>
    <s v="Manual"/>
    <s v="Yes"/>
    <n v="1"/>
    <s v="0-1 Miles"/>
    <s v="Europe"/>
    <x v="30"/>
    <x v="0"/>
    <s v="Yes"/>
  </r>
  <r>
    <n v="5"/>
    <s v="Partial College"/>
    <s v="Skilled Manual"/>
    <s v="Yes"/>
    <n v="2"/>
    <s v="5-10 Miles"/>
    <s v="Pacific"/>
    <x v="1"/>
    <x v="0"/>
    <s v="No"/>
  </r>
  <r>
    <n v="2"/>
    <s v="Partial College"/>
    <s v="Clerical"/>
    <s v="Yes"/>
    <n v="0"/>
    <s v="0-1 Miles"/>
    <s v="Europe"/>
    <x v="17"/>
    <x v="0"/>
    <s v="No"/>
  </r>
  <r>
    <n v="2"/>
    <s v="Partial College"/>
    <s v="Clerical"/>
    <s v="No"/>
    <n v="2"/>
    <s v="5-10 Miles"/>
    <s v="Pacific"/>
    <x v="41"/>
    <x v="1"/>
    <s v="No"/>
  </r>
  <r>
    <n v="0"/>
    <s v="Graduate Degree"/>
    <s v="Clerical"/>
    <s v="Yes"/>
    <n v="0"/>
    <s v="0-1 Miles"/>
    <s v="Europe"/>
    <x v="11"/>
    <x v="0"/>
    <s v="Yes"/>
  </r>
  <r>
    <n v="5"/>
    <s v="Graduate Degree"/>
    <s v="Management"/>
    <s v="Yes"/>
    <n v="3"/>
    <s v="0-1 Miles"/>
    <s v="Pacific"/>
    <x v="8"/>
    <x v="0"/>
    <s v="No"/>
  </r>
  <r>
    <n v="2"/>
    <s v="Bachelors"/>
    <s v="Professional"/>
    <s v="No"/>
    <n v="1"/>
    <s v="0-1 Miles"/>
    <s v="Pacific"/>
    <x v="34"/>
    <x v="0"/>
    <s v="Yes"/>
  </r>
  <r>
    <n v="2"/>
    <s v="Partial College"/>
    <s v="Clerical"/>
    <s v="No"/>
    <n v="2"/>
    <s v="5-10 Miles"/>
    <s v="Pacific"/>
    <x v="41"/>
    <x v="1"/>
    <s v="No"/>
  </r>
  <r>
    <n v="1"/>
    <s v="Bachelors"/>
    <s v="Skilled Manual"/>
    <s v="Yes"/>
    <n v="2"/>
    <s v="0-1 Miles"/>
    <s v="Europe"/>
    <x v="3"/>
    <x v="0"/>
    <s v="Yes"/>
  </r>
  <r>
    <n v="2"/>
    <s v="Partial College"/>
    <s v="Manual"/>
    <s v="Yes"/>
    <n v="1"/>
    <s v="0-1 Miles"/>
    <s v="Europe"/>
    <x v="36"/>
    <x v="0"/>
    <s v="Yes"/>
  </r>
  <r>
    <n v="2"/>
    <s v="Bachelors"/>
    <s v="Management"/>
    <s v="Yes"/>
    <n v="4"/>
    <s v="10+ Miles"/>
    <s v="Europe"/>
    <x v="14"/>
    <x v="1"/>
    <s v="No"/>
  </r>
  <r>
    <n v="2"/>
    <s v="Partial College"/>
    <s v="Manual"/>
    <s v="Yes"/>
    <n v="0"/>
    <s v="1-2 Miles"/>
    <s v="Europe"/>
    <x v="36"/>
    <x v="0"/>
    <s v="No"/>
  </r>
  <r>
    <n v="0"/>
    <s v="Partial College"/>
    <s v="Management"/>
    <s v="No"/>
    <n v="3"/>
    <s v="10+ Miles"/>
    <s v="Pacific"/>
    <x v="21"/>
    <x v="0"/>
    <s v="Yes"/>
  </r>
  <r>
    <n v="0"/>
    <s v="High School"/>
    <s v="Manual"/>
    <s v="Yes"/>
    <n v="1"/>
    <s v="2-5 Miles"/>
    <s v="Europe"/>
    <x v="17"/>
    <x v="0"/>
    <s v="Yes"/>
  </r>
  <r>
    <n v="3"/>
    <s v="Partial High School"/>
    <s v="Manual"/>
    <s v="Yes"/>
    <n v="2"/>
    <s v="0-1 Miles"/>
    <s v="Europe"/>
    <x v="1"/>
    <x v="0"/>
    <s v="No"/>
  </r>
  <r>
    <n v="2"/>
    <s v="Bachelors"/>
    <s v="Management"/>
    <s v="Yes"/>
    <n v="2"/>
    <s v="0-1 Miles"/>
    <s v="Pacific"/>
    <x v="41"/>
    <x v="1"/>
    <s v="No"/>
  </r>
  <r>
    <n v="0"/>
    <s v="Partial College"/>
    <s v="Clerical"/>
    <s v="No"/>
    <n v="1"/>
    <s v="2-5 Miles"/>
    <s v="Europe"/>
    <x v="26"/>
    <x v="2"/>
    <s v="No"/>
  </r>
  <r>
    <n v="1"/>
    <s v="Graduate Degree"/>
    <s v="Management"/>
    <s v="Yes"/>
    <n v="0"/>
    <s v="0-1 Miles"/>
    <s v="Pacific"/>
    <x v="4"/>
    <x v="0"/>
    <s v="Yes"/>
  </r>
  <r>
    <n v="4"/>
    <s v="Bachelors"/>
    <s v="Management"/>
    <s v="Yes"/>
    <n v="3"/>
    <s v="2-5 Miles"/>
    <s v="Pacific"/>
    <x v="28"/>
    <x v="0"/>
    <s v="No"/>
  </r>
  <r>
    <n v="0"/>
    <s v="Partial College"/>
    <s v="Clerical"/>
    <s v="Yes"/>
    <n v="1"/>
    <s v="2-5 Miles"/>
    <s v="Europe"/>
    <x v="23"/>
    <x v="0"/>
    <s v="No"/>
  </r>
  <r>
    <n v="3"/>
    <s v="High School"/>
    <s v="Skilled Manual"/>
    <s v="Yes"/>
    <n v="2"/>
    <s v="5-10 Miles"/>
    <s v="Pacific"/>
    <x v="10"/>
    <x v="1"/>
    <s v="No"/>
  </r>
  <r>
    <n v="0"/>
    <s v="Partial College"/>
    <s v="Manual"/>
    <s v="Yes"/>
    <n v="0"/>
    <s v="0-1 Miles"/>
    <s v="Pacific"/>
    <x v="26"/>
    <x v="2"/>
    <s v="Yes"/>
  </r>
  <r>
    <n v="0"/>
    <s v="High School"/>
    <s v="Management"/>
    <s v="Yes"/>
    <n v="3"/>
    <s v="10+ Miles"/>
    <s v="Pacific"/>
    <x v="17"/>
    <x v="0"/>
    <s v="Yes"/>
  </r>
  <r>
    <n v="3"/>
    <s v="Partial College"/>
    <s v="Clerical"/>
    <s v="No"/>
    <n v="1"/>
    <s v="0-1 Miles"/>
    <s v="Europe"/>
    <x v="22"/>
    <x v="2"/>
    <s v="No"/>
  </r>
  <r>
    <n v="3"/>
    <s v="High School"/>
    <s v="Skilled Manual"/>
    <s v="Yes"/>
    <n v="2"/>
    <s v="5-10 Miles"/>
    <s v="Pacific"/>
    <x v="39"/>
    <x v="0"/>
    <s v="Yes"/>
  </r>
  <r>
    <n v="2"/>
    <s v="Bachelors"/>
    <s v="Clerical"/>
    <s v="No"/>
    <n v="1"/>
    <s v="2-5 Miles"/>
    <s v="Europe"/>
    <x v="35"/>
    <x v="1"/>
    <s v="No"/>
  </r>
  <r>
    <n v="2"/>
    <s v="High School"/>
    <s v="Skilled Manual"/>
    <s v="Yes"/>
    <n v="2"/>
    <s v="5-10 Miles"/>
    <s v="Pacific"/>
    <x v="5"/>
    <x v="0"/>
    <s v="Yes"/>
  </r>
  <r>
    <n v="3"/>
    <s v="Partial College"/>
    <s v="Clerical"/>
    <s v="Yes"/>
    <n v="2"/>
    <s v="0-1 Miles"/>
    <s v="Europe"/>
    <x v="26"/>
    <x v="2"/>
    <s v="Yes"/>
  </r>
  <r>
    <n v="0"/>
    <s v="Graduate Degree"/>
    <s v="Skilled Manual"/>
    <s v="No"/>
    <n v="0"/>
    <s v="0-1 Miles"/>
    <s v="Europe"/>
    <x v="8"/>
    <x v="0"/>
    <s v="Yes"/>
  </r>
  <r>
    <n v="5"/>
    <s v="Partial College"/>
    <s v="Skilled Manual"/>
    <s v="Yes"/>
    <n v="2"/>
    <s v="0-1 Miles"/>
    <s v="Pacific"/>
    <x v="20"/>
    <x v="0"/>
    <s v="No"/>
  </r>
  <r>
    <n v="0"/>
    <s v="Bachelors"/>
    <s v="Professional"/>
    <s v="No"/>
    <n v="3"/>
    <s v="10+ Miles"/>
    <s v="Pacific"/>
    <x v="17"/>
    <x v="0"/>
    <s v="Yes"/>
  </r>
  <r>
    <n v="2"/>
    <s v="Partial College"/>
    <s v="Skilled Manual"/>
    <s v="Yes"/>
    <n v="2"/>
    <s v="5-10 Miles"/>
    <s v="Pacific"/>
    <x v="31"/>
    <x v="0"/>
    <s v="Yes"/>
  </r>
  <r>
    <n v="4"/>
    <s v="Graduate Degree"/>
    <s v="Management"/>
    <s v="Yes"/>
    <n v="0"/>
    <s v="0-1 Miles"/>
    <s v="Pacific"/>
    <x v="4"/>
    <x v="0"/>
    <s v="Yes"/>
  </r>
  <r>
    <n v="1"/>
    <s v="Bachelors"/>
    <s v="Skilled Manual"/>
    <s v="Yes"/>
    <n v="1"/>
    <s v="0-1 Miles"/>
    <s v="Europe"/>
    <x v="1"/>
    <x v="0"/>
    <s v="Yes"/>
  </r>
  <r>
    <n v="0"/>
    <s v="High School"/>
    <s v="Manual"/>
    <s v="No"/>
    <n v="1"/>
    <s v="1-2 Miles"/>
    <s v="Europe"/>
    <x v="21"/>
    <x v="0"/>
    <s v="No"/>
  </r>
  <r>
    <n v="1"/>
    <s v="Bachelors"/>
    <s v="Skilled Manual"/>
    <s v="Yes"/>
    <n v="1"/>
    <s v="1-2 Miles"/>
    <s v="Europe"/>
    <x v="21"/>
    <x v="0"/>
    <s v="Yes"/>
  </r>
  <r>
    <n v="0"/>
    <s v="Graduate Degree"/>
    <s v="Management"/>
    <s v="Yes"/>
    <n v="1"/>
    <s v="10+ Miles"/>
    <s v="Pacific"/>
    <x v="28"/>
    <x v="0"/>
    <s v="No"/>
  </r>
  <r>
    <n v="1"/>
    <s v="Bachelors"/>
    <s v="Skilled Manual"/>
    <s v="Yes"/>
    <n v="0"/>
    <s v="1-2 Miles"/>
    <s v="Europe"/>
    <x v="21"/>
    <x v="0"/>
    <s v="Yes"/>
  </r>
  <r>
    <n v="3"/>
    <s v="Graduate Degree"/>
    <s v="Clerical"/>
    <s v="Yes"/>
    <n v="0"/>
    <s v="0-1 Miles"/>
    <s v="Europe"/>
    <x v="30"/>
    <x v="0"/>
    <s v="No"/>
  </r>
  <r>
    <n v="1"/>
    <s v="Bachelors"/>
    <s v="Skilled Manual"/>
    <s v="Yes"/>
    <n v="0"/>
    <s v="0-1 Miles"/>
    <s v="Europe"/>
    <x v="0"/>
    <x v="0"/>
    <s v="No"/>
  </r>
  <r>
    <n v="2"/>
    <s v="High School"/>
    <s v="Manual"/>
    <s v="Yes"/>
    <n v="0"/>
    <s v="0-1 Miles"/>
    <s v="Europe"/>
    <x v="4"/>
    <x v="0"/>
    <s v="Yes"/>
  </r>
  <r>
    <n v="1"/>
    <s v="Bachelors"/>
    <s v="Skilled Manual"/>
    <s v="Yes"/>
    <n v="0"/>
    <s v="0-1 Miles"/>
    <s v="Europe"/>
    <x v="3"/>
    <x v="0"/>
    <s v="No"/>
  </r>
  <r>
    <n v="2"/>
    <s v="Partial College"/>
    <s v="Clerical"/>
    <s v="No"/>
    <n v="2"/>
    <s v="0-1 Miles"/>
    <s v="Pacific"/>
    <x v="45"/>
    <x v="1"/>
    <s v="No"/>
  </r>
  <r>
    <n v="5"/>
    <s v="Partial College"/>
    <s v="Skilled Manual"/>
    <s v="Yes"/>
    <n v="2"/>
    <s v="5-10 Miles"/>
    <s v="Pacific"/>
    <x v="12"/>
    <x v="0"/>
    <s v="No"/>
  </r>
  <r>
    <n v="0"/>
    <s v="High School"/>
    <s v="Manual"/>
    <s v="No"/>
    <n v="1"/>
    <s v="2-5 Miles"/>
    <s v="Europe"/>
    <x v="17"/>
    <x v="0"/>
    <s v="No"/>
  </r>
  <r>
    <n v="4"/>
    <s v="Partial College"/>
    <s v="Professional"/>
    <s v="No"/>
    <n v="1"/>
    <s v="2-5 Miles"/>
    <s v="Europe"/>
    <x v="39"/>
    <x v="0"/>
    <s v="Yes"/>
  </r>
  <r>
    <n v="3"/>
    <s v="High School"/>
    <s v="Professional"/>
    <s v="No"/>
    <n v="4"/>
    <s v="5-10 Miles"/>
    <s v="Europe"/>
    <x v="5"/>
    <x v="0"/>
    <s v="No"/>
  </r>
  <r>
    <n v="1"/>
    <s v="Partial College"/>
    <s v="Manual"/>
    <s v="Yes"/>
    <n v="0"/>
    <s v="0-1 Miles"/>
    <s v="Europe"/>
    <x v="27"/>
    <x v="1"/>
    <s v="No"/>
  </r>
  <r>
    <n v="0"/>
    <s v="Partial High School"/>
    <s v="Professional"/>
    <s v="Yes"/>
    <n v="4"/>
    <s v="10+ Miles"/>
    <s v="Pacific"/>
    <x v="21"/>
    <x v="0"/>
    <s v="Yes"/>
  </r>
  <r>
    <n v="0"/>
    <s v="Bachelors"/>
    <s v="Professional"/>
    <s v="No"/>
    <n v="3"/>
    <s v="10+ Miles"/>
    <s v="Pacific"/>
    <x v="6"/>
    <x v="0"/>
    <s v="No"/>
  </r>
  <r>
    <n v="0"/>
    <s v="Partial High School"/>
    <s v="Manual"/>
    <s v="Yes"/>
    <n v="2"/>
    <s v="1-2 Miles"/>
    <s v="Europe"/>
    <x v="23"/>
    <x v="0"/>
    <s v="Yes"/>
  </r>
  <r>
    <n v="1"/>
    <s v="Bachelors"/>
    <s v="Management"/>
    <s v="Yes"/>
    <n v="2"/>
    <s v="0-1 Miles"/>
    <s v="Pacific"/>
    <x v="30"/>
    <x v="0"/>
    <s v="Yes"/>
  </r>
  <r>
    <n v="0"/>
    <s v="Bachelors"/>
    <s v="Clerical"/>
    <s v="Yes"/>
    <n v="0"/>
    <s v="0-1 Miles"/>
    <s v="Europe"/>
    <x v="32"/>
    <x v="0"/>
    <s v="Yes"/>
  </r>
  <r>
    <n v="2"/>
    <s v="High School"/>
    <s v="Manual"/>
    <s v="Yes"/>
    <n v="1"/>
    <s v="0-1 Miles"/>
    <s v="Europe"/>
    <x v="8"/>
    <x v="0"/>
    <s v="No"/>
  </r>
  <r>
    <n v="3"/>
    <s v="Bachelors"/>
    <s v="Clerical"/>
    <s v="Yes"/>
    <n v="0"/>
    <s v="0-1 Miles"/>
    <s v="Europe"/>
    <x v="30"/>
    <x v="0"/>
    <s v="Yes"/>
  </r>
  <r>
    <n v="2"/>
    <s v="Bachelors"/>
    <s v="Management"/>
    <s v="Yes"/>
    <n v="2"/>
    <s v="0-1 Miles"/>
    <s v="Pacific"/>
    <x v="27"/>
    <x v="1"/>
    <s v="No"/>
  </r>
  <r>
    <n v="3"/>
    <s v="Bachelors"/>
    <s v="Clerical"/>
    <s v="Yes"/>
    <n v="0"/>
    <s v="0-1 Miles"/>
    <s v="Europe"/>
    <x v="15"/>
    <x v="0"/>
    <s v="Yes"/>
  </r>
  <r>
    <n v="1"/>
    <s v="Bachelors"/>
    <s v="Management"/>
    <s v="No"/>
    <n v="3"/>
    <s v="0-1 Miles"/>
    <s v="Pacific"/>
    <x v="30"/>
    <x v="0"/>
    <s v="Yes"/>
  </r>
  <r>
    <n v="5"/>
    <s v="Graduate Degree"/>
    <s v="Management"/>
    <s v="Yes"/>
    <n v="3"/>
    <s v="0-1 Miles"/>
    <s v="Pacific"/>
    <x v="8"/>
    <x v="0"/>
    <s v="No"/>
  </r>
  <r>
    <n v="1"/>
    <s v="Bachelors"/>
    <s v="Clerical"/>
    <s v="Yes"/>
    <n v="0"/>
    <s v="0-1 Miles"/>
    <s v="Europe"/>
    <x v="27"/>
    <x v="1"/>
    <s v="No"/>
  </r>
  <r>
    <n v="0"/>
    <s v="High School"/>
    <s v="Manual"/>
    <s v="No"/>
    <n v="1"/>
    <s v="1-2 Miles"/>
    <s v="Europe"/>
    <x v="26"/>
    <x v="2"/>
    <s v="No"/>
  </r>
  <r>
    <n v="0"/>
    <s v="Bachelors"/>
    <s v="Professional"/>
    <s v="No"/>
    <n v="2"/>
    <s v="5-10 Miles"/>
    <s v="Pacific"/>
    <x v="1"/>
    <x v="0"/>
    <s v="Yes"/>
  </r>
  <r>
    <n v="0"/>
    <s v="Graduate Degree"/>
    <s v="Clerical"/>
    <s v="Yes"/>
    <n v="0"/>
    <s v="0-1 Miles"/>
    <s v="Europe"/>
    <x v="13"/>
    <x v="0"/>
    <s v="Yes"/>
  </r>
  <r>
    <n v="0"/>
    <s v="Bachelors"/>
    <s v="Clerical"/>
    <s v="Yes"/>
    <n v="0"/>
    <s v="0-1 Miles"/>
    <s v="Europe"/>
    <x v="15"/>
    <x v="0"/>
    <s v="Yes"/>
  </r>
  <r>
    <n v="2"/>
    <s v="Bachelors"/>
    <s v="Professional"/>
    <s v="No"/>
    <n v="0"/>
    <s v="0-1 Miles"/>
    <s v="Pacific"/>
    <x v="4"/>
    <x v="0"/>
    <s v="Yes"/>
  </r>
  <r>
    <n v="4"/>
    <s v="High School"/>
    <s v="Skilled Manual"/>
    <s v="No"/>
    <n v="2"/>
    <s v="1-2 Miles"/>
    <s v="Pacific"/>
    <x v="2"/>
    <x v="1"/>
    <s v="No"/>
  </r>
  <r>
    <n v="0"/>
    <s v="Bachelors"/>
    <s v="Professional"/>
    <s v="Yes"/>
    <n v="1"/>
    <s v="5-10 Miles"/>
    <s v="Pacific"/>
    <x v="0"/>
    <x v="0"/>
    <s v="Yes"/>
  </r>
  <r>
    <n v="2"/>
    <s v="High School"/>
    <s v="Skilled Manual"/>
    <s v="No"/>
    <n v="2"/>
    <s v="1-2 Miles"/>
    <s v="Pacific"/>
    <x v="5"/>
    <x v="0"/>
    <s v="Yes"/>
  </r>
  <r>
    <n v="0"/>
    <s v="Bachelors"/>
    <s v="Clerical"/>
    <s v="Yes"/>
    <n v="0"/>
    <s v="0-1 Miles"/>
    <s v="Europe"/>
    <x v="11"/>
    <x v="0"/>
    <s v="Yes"/>
  </r>
  <r>
    <n v="1"/>
    <s v="Bachelors"/>
    <s v="Skilled Manual"/>
    <s v="Yes"/>
    <n v="1"/>
    <s v="0-1 Miles"/>
    <s v="Europe"/>
    <x v="21"/>
    <x v="0"/>
    <s v="Yes"/>
  </r>
  <r>
    <n v="1"/>
    <s v="Bachelors"/>
    <s v="Professional"/>
    <s v="Yes"/>
    <n v="1"/>
    <s v="5-10 Miles"/>
    <s v="Pacific"/>
    <x v="30"/>
    <x v="0"/>
    <s v="No"/>
  </r>
  <r>
    <n v="2"/>
    <s v="Partial College"/>
    <s v="Clerical"/>
    <s v="Yes"/>
    <n v="0"/>
    <s v="1-2 Miles"/>
    <s v="Europe"/>
    <x v="6"/>
    <x v="0"/>
    <s v="Yes"/>
  </r>
  <r>
    <n v="0"/>
    <s v="Graduate Degree"/>
    <s v="Clerical"/>
    <s v="No"/>
    <n v="0"/>
    <s v="0-1 Miles"/>
    <s v="Europe"/>
    <x v="4"/>
    <x v="0"/>
    <s v="Yes"/>
  </r>
  <r>
    <n v="1"/>
    <s v="Graduate Degree"/>
    <s v="Clerical"/>
    <s v="Yes"/>
    <n v="0"/>
    <s v="0-1 Miles"/>
    <s v="Europe"/>
    <x v="43"/>
    <x v="1"/>
    <s v="No"/>
  </r>
  <r>
    <n v="0"/>
    <s v="Partial College"/>
    <s v="Clerical"/>
    <s v="No"/>
    <n v="1"/>
    <s v="2-5 Miles"/>
    <s v="Europe"/>
    <x v="23"/>
    <x v="0"/>
    <s v="Yes"/>
  </r>
  <r>
    <n v="2"/>
    <s v="Partial College"/>
    <s v="Clerical"/>
    <s v="Yes"/>
    <n v="2"/>
    <s v="0-1 Miles"/>
    <s v="Europe"/>
    <x v="0"/>
    <x v="0"/>
    <s v="No"/>
  </r>
  <r>
    <n v="4"/>
    <s v="Partial High School"/>
    <s v="Skilled Manual"/>
    <s v="Yes"/>
    <n v="4"/>
    <s v="10+ Miles"/>
    <s v="Europe"/>
    <x v="7"/>
    <x v="1"/>
    <s v="No"/>
  </r>
  <r>
    <n v="0"/>
    <s v="Bachelors"/>
    <s v="Clerical"/>
    <s v="Yes"/>
    <n v="0"/>
    <s v="0-1 Miles"/>
    <s v="Europe"/>
    <x v="32"/>
    <x v="0"/>
    <s v="No"/>
  </r>
  <r>
    <n v="0"/>
    <s v="Partial High School"/>
    <s v="Manual"/>
    <s v="Yes"/>
    <n v="2"/>
    <s v="1-2 Miles"/>
    <s v="Europe"/>
    <x v="17"/>
    <x v="0"/>
    <s v="No"/>
  </r>
  <r>
    <n v="0"/>
    <s v="Partial High School"/>
    <s v="Manual"/>
    <s v="Yes"/>
    <n v="2"/>
    <s v="0-1 Miles"/>
    <s v="Europe"/>
    <x v="21"/>
    <x v="0"/>
    <s v="No"/>
  </r>
  <r>
    <n v="4"/>
    <s v="Bachelors"/>
    <s v="Professional"/>
    <s v="Yes"/>
    <n v="0"/>
    <s v="2-5 Miles"/>
    <s v="North America"/>
    <x v="30"/>
    <x v="0"/>
    <s v="No"/>
  </r>
  <r>
    <n v="2"/>
    <s v="Partial High School"/>
    <s v="Skilled Manual"/>
    <s v="Yes"/>
    <n v="2"/>
    <s v="5-10 Miles"/>
    <s v="North America"/>
    <x v="28"/>
    <x v="0"/>
    <s v="No"/>
  </r>
  <r>
    <n v="3"/>
    <s v="Partial College"/>
    <s v="Clerical"/>
    <s v="Yes"/>
    <n v="1"/>
    <s v="1-2 Miles"/>
    <s v="North America"/>
    <x v="23"/>
    <x v="0"/>
    <s v="Yes"/>
  </r>
  <r>
    <n v="5"/>
    <s v="Bachelors"/>
    <s v="Management"/>
    <s v="Yes"/>
    <n v="3"/>
    <s v="10+ Miles"/>
    <s v="North America"/>
    <x v="2"/>
    <x v="1"/>
    <s v="Yes"/>
  </r>
  <r>
    <n v="4"/>
    <s v="High School"/>
    <s v="Professional"/>
    <s v="Yes"/>
    <n v="0"/>
    <s v="5-10 Miles"/>
    <s v="North America"/>
    <x v="36"/>
    <x v="0"/>
    <s v="No"/>
  </r>
  <r>
    <n v="2"/>
    <s v="Partial College"/>
    <s v="Professional"/>
    <s v="Yes"/>
    <n v="2"/>
    <s v="10+ Miles"/>
    <s v="North America"/>
    <x v="16"/>
    <x v="1"/>
    <s v="No"/>
  </r>
  <r>
    <n v="3"/>
    <s v="Bachelors"/>
    <s v="Skilled Manual"/>
    <s v="Yes"/>
    <n v="1"/>
    <s v="2-5 Miles"/>
    <s v="North America"/>
    <x v="8"/>
    <x v="0"/>
    <s v="Yes"/>
  </r>
  <r>
    <n v="1"/>
    <s v="Graduate Degree"/>
    <s v="Professional"/>
    <s v="Yes"/>
    <n v="0"/>
    <s v="2-5 Miles"/>
    <s v="North America"/>
    <x v="17"/>
    <x v="0"/>
    <s v="Yes"/>
  </r>
  <r>
    <n v="1"/>
    <s v="Partial College"/>
    <s v="Skilled Manual"/>
    <s v="Yes"/>
    <n v="1"/>
    <s v="2-5 Miles"/>
    <s v="North America"/>
    <x v="28"/>
    <x v="0"/>
    <s v="Yes"/>
  </r>
  <r>
    <n v="0"/>
    <s v="High School"/>
    <s v="Skilled Manual"/>
    <s v="No"/>
    <n v="2"/>
    <s v="1-2 Miles"/>
    <s v="North America"/>
    <x v="23"/>
    <x v="0"/>
    <s v="Yes"/>
  </r>
  <r>
    <n v="5"/>
    <s v="Bachelors"/>
    <s v="Professional"/>
    <s v="Yes"/>
    <n v="1"/>
    <s v="2-5 Miles"/>
    <s v="North America"/>
    <x v="15"/>
    <x v="0"/>
    <s v="No"/>
  </r>
  <r>
    <n v="0"/>
    <s v="Graduate Degree"/>
    <s v="Skilled Manual"/>
    <s v="Yes"/>
    <n v="0"/>
    <s v="0-1 Miles"/>
    <s v="North America"/>
    <x v="17"/>
    <x v="0"/>
    <s v="No"/>
  </r>
  <r>
    <n v="0"/>
    <s v="Partial College"/>
    <s v="Skilled Manual"/>
    <s v="Yes"/>
    <n v="1"/>
    <s v="5-10 Miles"/>
    <s v="North America"/>
    <x v="19"/>
    <x v="2"/>
    <s v="No"/>
  </r>
  <r>
    <n v="1"/>
    <s v="Bachelors"/>
    <s v="Management"/>
    <s v="Yes"/>
    <n v="4"/>
    <s v="2-5 Miles"/>
    <s v="North America"/>
    <x v="20"/>
    <x v="0"/>
    <s v="Yes"/>
  </r>
  <r>
    <n v="2"/>
    <s v="Bachelors"/>
    <s v="Skilled Manual"/>
    <s v="Yes"/>
    <n v="1"/>
    <s v="2-5 Miles"/>
    <s v="North America"/>
    <x v="13"/>
    <x v="0"/>
    <s v="Yes"/>
  </r>
  <r>
    <n v="4"/>
    <s v="Partial College"/>
    <s v="Professional"/>
    <s v="Yes"/>
    <n v="4"/>
    <s v="0-1 Miles"/>
    <s v="North America"/>
    <x v="8"/>
    <x v="0"/>
    <s v="No"/>
  </r>
  <r>
    <n v="4"/>
    <s v="Bachelors"/>
    <s v="Professional"/>
    <s v="Yes"/>
    <n v="2"/>
    <s v="2-5 Miles"/>
    <s v="North America"/>
    <x v="0"/>
    <x v="0"/>
    <s v="Yes"/>
  </r>
  <r>
    <n v="1"/>
    <s v="Partial College"/>
    <s v="Clerical"/>
    <s v="Yes"/>
    <n v="1"/>
    <s v="1-2 Miles"/>
    <s v="North America"/>
    <x v="36"/>
    <x v="0"/>
    <s v="Yes"/>
  </r>
  <r>
    <n v="0"/>
    <s v="Partial College"/>
    <s v="Skilled Manual"/>
    <s v="No"/>
    <n v="2"/>
    <s v="1-2 Miles"/>
    <s v="North America"/>
    <x v="19"/>
    <x v="2"/>
    <s v="No"/>
  </r>
  <r>
    <n v="3"/>
    <s v="Bachelors"/>
    <s v="Professional"/>
    <s v="Yes"/>
    <n v="1"/>
    <s v="2-5 Miles"/>
    <s v="North America"/>
    <x v="28"/>
    <x v="0"/>
    <s v="Yes"/>
  </r>
  <r>
    <n v="0"/>
    <s v="Bachelors"/>
    <s v="Professional"/>
    <s v="No"/>
    <n v="1"/>
    <s v="2-5 Miles"/>
    <s v="North America"/>
    <x v="34"/>
    <x v="0"/>
    <s v="Yes"/>
  </r>
  <r>
    <n v="4"/>
    <s v="Bachelors"/>
    <s v="Management"/>
    <s v="Yes"/>
    <n v="0"/>
    <s v="5-10 Miles"/>
    <s v="North America"/>
    <x v="29"/>
    <x v="1"/>
    <s v="Yes"/>
  </r>
  <r>
    <n v="1"/>
    <s v="Partial College"/>
    <s v="Skilled Manual"/>
    <s v="Yes"/>
    <n v="1"/>
    <s v="0-1 Miles"/>
    <s v="North America"/>
    <x v="12"/>
    <x v="0"/>
    <s v="Yes"/>
  </r>
  <r>
    <n v="4"/>
    <s v="Graduate Degree"/>
    <s v="Management"/>
    <s v="Yes"/>
    <n v="2"/>
    <s v="10+ Miles"/>
    <s v="North America"/>
    <x v="33"/>
    <x v="1"/>
    <s v="Yes"/>
  </r>
  <r>
    <n v="0"/>
    <s v="Bachelors"/>
    <s v="Professional"/>
    <s v="No"/>
    <n v="1"/>
    <s v="2-5 Miles"/>
    <s v="North America"/>
    <x v="12"/>
    <x v="0"/>
    <s v="No"/>
  </r>
  <r>
    <n v="5"/>
    <s v="Bachelors"/>
    <s v="Professional"/>
    <s v="Yes"/>
    <n v="2"/>
    <s v="2-5 Miles"/>
    <s v="North America"/>
    <x v="15"/>
    <x v="0"/>
    <s v="No"/>
  </r>
  <r>
    <n v="2"/>
    <s v="High School"/>
    <s v="Professional"/>
    <s v="Yes"/>
    <n v="2"/>
    <s v="5-10 Miles"/>
    <s v="North America"/>
    <x v="38"/>
    <x v="0"/>
    <s v="No"/>
  </r>
  <r>
    <n v="3"/>
    <s v="Bachelors"/>
    <s v="Professional"/>
    <s v="No"/>
    <n v="0"/>
    <s v="0-1 Miles"/>
    <s v="North America"/>
    <x v="15"/>
    <x v="0"/>
    <s v="Yes"/>
  </r>
  <r>
    <n v="0"/>
    <s v="Bachelors"/>
    <s v="Management"/>
    <s v="Yes"/>
    <n v="1"/>
    <s v="1-2 Miles"/>
    <s v="North America"/>
    <x v="17"/>
    <x v="0"/>
    <s v="Yes"/>
  </r>
  <r>
    <n v="5"/>
    <s v="Bachelors"/>
    <s v="Management"/>
    <s v="Yes"/>
    <n v="2"/>
    <s v="1-2 Miles"/>
    <s v="North America"/>
    <x v="46"/>
    <x v="1"/>
    <s v="No"/>
  </r>
  <r>
    <n v="1"/>
    <s v="Partial College"/>
    <s v="Professional"/>
    <s v="No"/>
    <n v="3"/>
    <s v="1-2 Miles"/>
    <s v="North America"/>
    <x v="20"/>
    <x v="0"/>
    <s v="No"/>
  </r>
  <r>
    <n v="4"/>
    <s v="High School"/>
    <s v="Professional"/>
    <s v="Yes"/>
    <n v="2"/>
    <s v="10+ Miles"/>
    <s v="North America"/>
    <x v="24"/>
    <x v="1"/>
    <s v="Yes"/>
  </r>
  <r>
    <n v="3"/>
    <s v="Bachelors"/>
    <s v="Professional"/>
    <s v="No"/>
    <n v="1"/>
    <s v="0-1 Miles"/>
    <s v="North America"/>
    <x v="15"/>
    <x v="0"/>
    <s v="Yes"/>
  </r>
  <r>
    <n v="3"/>
    <s v="Partial College"/>
    <s v="Professional"/>
    <s v="No"/>
    <n v="2"/>
    <s v="0-1 Miles"/>
    <s v="North America"/>
    <x v="38"/>
    <x v="0"/>
    <s v="Yes"/>
  </r>
  <r>
    <n v="4"/>
    <s v="Graduate Degree"/>
    <s v="Management"/>
    <s v="Yes"/>
    <n v="2"/>
    <s v="5-10 Miles"/>
    <s v="North America"/>
    <x v="41"/>
    <x v="1"/>
    <s v="No"/>
  </r>
  <r>
    <n v="5"/>
    <s v="Bachelors"/>
    <s v="Management"/>
    <s v="Yes"/>
    <n v="3"/>
    <s v="10+ Miles"/>
    <s v="North America"/>
    <x v="14"/>
    <x v="1"/>
    <s v="Yes"/>
  </r>
  <r>
    <n v="1"/>
    <s v="Bachelors"/>
    <s v="Management"/>
    <s v="Yes"/>
    <n v="2"/>
    <s v="1-2 Miles"/>
    <s v="North America"/>
    <x v="20"/>
    <x v="0"/>
    <s v="No"/>
  </r>
  <r>
    <n v="1"/>
    <s v="Bachelors"/>
    <s v="Skilled Manual"/>
    <s v="Yes"/>
    <n v="0"/>
    <s v="0-1 Miles"/>
    <s v="North America"/>
    <x v="4"/>
    <x v="0"/>
    <s v="No"/>
  </r>
  <r>
    <n v="0"/>
    <s v="Partial College"/>
    <s v="Skilled Manual"/>
    <s v="Yes"/>
    <n v="1"/>
    <s v="5-10 Miles"/>
    <s v="North America"/>
    <x v="26"/>
    <x v="2"/>
    <s v="No"/>
  </r>
  <r>
    <n v="2"/>
    <s v="Partial College"/>
    <s v="Professional"/>
    <s v="Yes"/>
    <n v="1"/>
    <s v="10+ Miles"/>
    <s v="North America"/>
    <x v="42"/>
    <x v="1"/>
    <s v="Yes"/>
  </r>
  <r>
    <n v="0"/>
    <s v="Partial College"/>
    <s v="Skilled Manual"/>
    <s v="Yes"/>
    <n v="1"/>
    <s v="5-10 Miles"/>
    <s v="North America"/>
    <x v="40"/>
    <x v="2"/>
    <s v="Yes"/>
  </r>
  <r>
    <n v="0"/>
    <s v="Partial High School"/>
    <s v="Clerical"/>
    <s v="Yes"/>
    <n v="2"/>
    <s v="5-10 Miles"/>
    <s v="North America"/>
    <x v="26"/>
    <x v="2"/>
    <s v="No"/>
  </r>
  <r>
    <n v="1"/>
    <s v="Bachelors"/>
    <s v="Professional"/>
    <s v="No"/>
    <n v="1"/>
    <s v="0-1 Miles"/>
    <s v="North America"/>
    <x v="20"/>
    <x v="0"/>
    <s v="Yes"/>
  </r>
  <r>
    <n v="3"/>
    <s v="Bachelors"/>
    <s v="Management"/>
    <s v="Yes"/>
    <n v="2"/>
    <s v="10+ Miles"/>
    <s v="North America"/>
    <x v="29"/>
    <x v="1"/>
    <s v="No"/>
  </r>
  <r>
    <n v="4"/>
    <s v="High School"/>
    <s v="Professional"/>
    <s v="Yes"/>
    <n v="2"/>
    <s v="10+ Miles"/>
    <s v="North America"/>
    <x v="46"/>
    <x v="1"/>
    <s v="No"/>
  </r>
  <r>
    <n v="3"/>
    <s v="Bachelors"/>
    <s v="Skilled Manual"/>
    <s v="Yes"/>
    <n v="3"/>
    <s v="10+ Miles"/>
    <s v="North America"/>
    <x v="3"/>
    <x v="0"/>
    <s v="No"/>
  </r>
  <r>
    <n v="3"/>
    <s v="Bachelors"/>
    <s v="Skilled Manual"/>
    <s v="Yes"/>
    <n v="1"/>
    <s v="0-1 Miles"/>
    <s v="North America"/>
    <x v="3"/>
    <x v="0"/>
    <s v="Yes"/>
  </r>
  <r>
    <n v="1"/>
    <s v="Partial College"/>
    <s v="Clerical"/>
    <s v="Yes"/>
    <n v="1"/>
    <s v="1-2 Miles"/>
    <s v="North America"/>
    <x v="38"/>
    <x v="0"/>
    <s v="Yes"/>
  </r>
  <r>
    <n v="4"/>
    <s v="Bachelors"/>
    <s v="Management"/>
    <s v="Yes"/>
    <n v="0"/>
    <s v="0-1 Miles"/>
    <s v="North America"/>
    <x v="0"/>
    <x v="0"/>
    <s v="No"/>
  </r>
  <r>
    <n v="0"/>
    <s v="Bachelors"/>
    <s v="Professional"/>
    <s v="No"/>
    <n v="1"/>
    <s v="2-5 Miles"/>
    <s v="North America"/>
    <x v="34"/>
    <x v="0"/>
    <s v="Yes"/>
  </r>
  <r>
    <n v="3"/>
    <s v="Graduate Degree"/>
    <s v="Management"/>
    <s v="Yes"/>
    <n v="2"/>
    <s v="1-2 Miles"/>
    <s v="North America"/>
    <x v="31"/>
    <x v="0"/>
    <s v="No"/>
  </r>
  <r>
    <n v="1"/>
    <s v="Graduate Degree"/>
    <s v="Skilled Manual"/>
    <s v="Yes"/>
    <n v="0"/>
    <s v="1-2 Miles"/>
    <s v="North America"/>
    <x v="17"/>
    <x v="0"/>
    <s v="No"/>
  </r>
  <r>
    <n v="0"/>
    <s v="High School"/>
    <s v="Skilled Manual"/>
    <s v="Yes"/>
    <n v="2"/>
    <s v="5-10 Miles"/>
    <s v="North America"/>
    <x v="19"/>
    <x v="2"/>
    <s v="No"/>
  </r>
  <r>
    <n v="2"/>
    <s v="High School"/>
    <s v="Professional"/>
    <s v="Yes"/>
    <n v="2"/>
    <s v="2-5 Miles"/>
    <s v="North America"/>
    <x v="39"/>
    <x v="0"/>
    <s v="No"/>
  </r>
  <r>
    <n v="2"/>
    <s v="Bachelors"/>
    <s v="Management"/>
    <s v="No"/>
    <n v="4"/>
    <s v="1-2 Miles"/>
    <s v="North America"/>
    <x v="8"/>
    <x v="0"/>
    <s v="No"/>
  </r>
  <r>
    <n v="0"/>
    <s v="Partial College"/>
    <s v="Skilled Manual"/>
    <s v="No"/>
    <n v="2"/>
    <s v="1-2 Miles"/>
    <s v="North America"/>
    <x v="19"/>
    <x v="2"/>
    <s v="No"/>
  </r>
  <r>
    <n v="4"/>
    <s v="Bachelors"/>
    <s v="Professional"/>
    <s v="Yes"/>
    <n v="2"/>
    <s v="2-5 Miles"/>
    <s v="North America"/>
    <x v="1"/>
    <x v="0"/>
    <s v="Yes"/>
  </r>
  <r>
    <n v="2"/>
    <s v="High School"/>
    <s v="Professional"/>
    <s v="Yes"/>
    <n v="2"/>
    <s v="2-5 Miles"/>
    <s v="North America"/>
    <x v="10"/>
    <x v="1"/>
    <s v="Yes"/>
  </r>
  <r>
    <n v="4"/>
    <s v="Graduate Degree"/>
    <s v="Skilled Manual"/>
    <s v="No"/>
    <n v="0"/>
    <s v="0-1 Miles"/>
    <s v="North America"/>
    <x v="28"/>
    <x v="0"/>
    <s v="No"/>
  </r>
  <r>
    <n v="3"/>
    <s v="Bachelors"/>
    <s v="Management"/>
    <s v="Yes"/>
    <n v="3"/>
    <s v="0-1 Miles"/>
    <s v="North America"/>
    <x v="12"/>
    <x v="0"/>
    <s v="Yes"/>
  </r>
  <r>
    <n v="0"/>
    <s v="Bachelors"/>
    <s v="Professional"/>
    <s v="No"/>
    <n v="1"/>
    <s v="0-1 Miles"/>
    <s v="Pacific"/>
    <x v="0"/>
    <x v="0"/>
    <s v="Yes"/>
  </r>
  <r>
    <n v="4"/>
    <s v="Bachelors"/>
    <s v="Management"/>
    <s v="Yes"/>
    <n v="2"/>
    <s v="10+ Miles"/>
    <s v="North America"/>
    <x v="18"/>
    <x v="1"/>
    <s v="No"/>
  </r>
  <r>
    <n v="3"/>
    <s v="High School"/>
    <s v="Professional"/>
    <s v="Yes"/>
    <n v="2"/>
    <s v="10+ Miles"/>
    <s v="North America"/>
    <x v="9"/>
    <x v="0"/>
    <s v="Yes"/>
  </r>
  <r>
    <n v="3"/>
    <s v="Partial College"/>
    <s v="Professional"/>
    <s v="No"/>
    <n v="2"/>
    <s v="5-10 Miles"/>
    <s v="North America"/>
    <x v="49"/>
    <x v="1"/>
    <s v="Yes"/>
  </r>
  <r>
    <n v="2"/>
    <s v="Graduate Degree"/>
    <s v="Professional"/>
    <s v="Yes"/>
    <n v="0"/>
    <s v="2-5 Miles"/>
    <s v="North America"/>
    <x v="8"/>
    <x v="0"/>
    <s v="Yes"/>
  </r>
  <r>
    <n v="0"/>
    <s v="Partial College"/>
    <s v="Skilled Manual"/>
    <s v="No"/>
    <n v="1"/>
    <s v="2-5 Miles"/>
    <s v="North America"/>
    <x v="32"/>
    <x v="0"/>
    <s v="Yes"/>
  </r>
  <r>
    <n v="4"/>
    <s v="Bachelors"/>
    <s v="Management"/>
    <s v="Yes"/>
    <n v="0"/>
    <s v="1-2 Miles"/>
    <s v="North America"/>
    <x v="0"/>
    <x v="0"/>
    <s v="No"/>
  </r>
  <r>
    <n v="3"/>
    <s v="Partial College"/>
    <s v="Clerical"/>
    <s v="Yes"/>
    <n v="0"/>
    <s v="1-2 Miles"/>
    <s v="North America"/>
    <x v="23"/>
    <x v="0"/>
    <s v="No"/>
  </r>
  <r>
    <n v="3"/>
    <s v="Bachelors"/>
    <s v="Skilled Manual"/>
    <s v="Yes"/>
    <n v="2"/>
    <s v="0-1 Miles"/>
    <s v="North America"/>
    <x v="3"/>
    <x v="0"/>
    <s v="No"/>
  </r>
  <r>
    <n v="2"/>
    <s v="Bachelors"/>
    <s v="Management"/>
    <s v="Yes"/>
    <n v="0"/>
    <s v="10+ Miles"/>
    <s v="North America"/>
    <x v="7"/>
    <x v="1"/>
    <s v="No"/>
  </r>
  <r>
    <n v="0"/>
    <s v="Graduate Degree"/>
    <s v="Professional"/>
    <s v="Yes"/>
    <n v="0"/>
    <s v="0-1 Miles"/>
    <s v="North America"/>
    <x v="8"/>
    <x v="0"/>
    <s v="No"/>
  </r>
  <r>
    <n v="2"/>
    <s v="Partial High School"/>
    <s v="Clerical"/>
    <s v="No"/>
    <n v="0"/>
    <s v="0-1 Miles"/>
    <s v="North America"/>
    <x v="28"/>
    <x v="0"/>
    <s v="No"/>
  </r>
  <r>
    <n v="2"/>
    <s v="Graduate Degree"/>
    <s v="Professional"/>
    <s v="Yes"/>
    <n v="0"/>
    <s v="2-5 Miles"/>
    <s v="North America"/>
    <x v="17"/>
    <x v="0"/>
    <s v="Yes"/>
  </r>
  <r>
    <n v="0"/>
    <s v="Partial College"/>
    <s v="Skilled Manual"/>
    <s v="Yes"/>
    <n v="1"/>
    <s v="5-10 Miles"/>
    <s v="North America"/>
    <x v="26"/>
    <x v="2"/>
    <s v="No"/>
  </r>
  <r>
    <n v="0"/>
    <s v="Partial College"/>
    <s v="Skilled Manual"/>
    <s v="Yes"/>
    <n v="1"/>
    <s v="5-10 Miles"/>
    <s v="North America"/>
    <x v="40"/>
    <x v="2"/>
    <s v="No"/>
  </r>
  <r>
    <n v="3"/>
    <s v="Partial College"/>
    <s v="Professional"/>
    <s v="No"/>
    <n v="2"/>
    <s v="5-10 Miles"/>
    <s v="North America"/>
    <x v="9"/>
    <x v="0"/>
    <s v="Yes"/>
  </r>
  <r>
    <n v="2"/>
    <s v="Graduate Degree"/>
    <s v="Management"/>
    <s v="Yes"/>
    <n v="2"/>
    <s v="5-10 Miles"/>
    <s v="North America"/>
    <x v="43"/>
    <x v="1"/>
    <s v="No"/>
  </r>
  <r>
    <n v="1"/>
    <s v="Partial College"/>
    <s v="Clerical"/>
    <s v="Yes"/>
    <n v="1"/>
    <s v="1-2 Miles"/>
    <s v="North America"/>
    <x v="28"/>
    <x v="0"/>
    <s v="Yes"/>
  </r>
  <r>
    <n v="1"/>
    <s v="Partial College"/>
    <s v="Skilled Manual"/>
    <s v="Yes"/>
    <n v="1"/>
    <s v="2-5 Miles"/>
    <s v="North America"/>
    <x v="20"/>
    <x v="0"/>
    <s v="Yes"/>
  </r>
  <r>
    <n v="3"/>
    <s v="Graduate Degree"/>
    <s v="Management"/>
    <s v="Yes"/>
    <n v="2"/>
    <s v="10+ Miles"/>
    <s v="North America"/>
    <x v="45"/>
    <x v="1"/>
    <s v="No"/>
  </r>
  <r>
    <n v="3"/>
    <s v="Partial High School"/>
    <s v="Skilled Manual"/>
    <s v="Yes"/>
    <n v="2"/>
    <s v="5-10 Miles"/>
    <s v="North America"/>
    <x v="31"/>
    <x v="0"/>
    <s v="No"/>
  </r>
  <r>
    <n v="2"/>
    <s v="Partial High School"/>
    <s v="Skilled Manual"/>
    <s v="Yes"/>
    <n v="2"/>
    <s v="2-5 Miles"/>
    <s v="North America"/>
    <x v="10"/>
    <x v="1"/>
    <s v="No"/>
  </r>
  <r>
    <n v="0"/>
    <s v="High School"/>
    <s v="Skilled Manual"/>
    <s v="Yes"/>
    <n v="2"/>
    <s v="5-10 Miles"/>
    <s v="North America"/>
    <x v="25"/>
    <x v="2"/>
    <s v="No"/>
  </r>
  <r>
    <n v="3"/>
    <s v="Graduate Degree"/>
    <s v="Management"/>
    <s v="Yes"/>
    <n v="2"/>
    <s v="1-2 Miles"/>
    <s v="North America"/>
    <x v="18"/>
    <x v="1"/>
    <s v="No"/>
  </r>
  <r>
    <n v="0"/>
    <s v="Bachelors"/>
    <s v="Management"/>
    <s v="Yes"/>
    <n v="1"/>
    <s v="1-2 Miles"/>
    <s v="North America"/>
    <x v="17"/>
    <x v="0"/>
    <s v="Yes"/>
  </r>
  <r>
    <n v="2"/>
    <s v="Partial College"/>
    <s v="Professional"/>
    <s v="Yes"/>
    <n v="1"/>
    <s v="10+ Miles"/>
    <s v="North America"/>
    <x v="16"/>
    <x v="1"/>
    <s v="No"/>
  </r>
  <r>
    <n v="0"/>
    <s v="High School"/>
    <s v="Skilled Manual"/>
    <s v="Yes"/>
    <n v="1"/>
    <s v="5-10 Miles"/>
    <s v="North America"/>
    <x v="23"/>
    <x v="0"/>
    <s v="No"/>
  </r>
  <r>
    <n v="1"/>
    <s v="Bachelors"/>
    <s v="Management"/>
    <s v="Yes"/>
    <n v="4"/>
    <s v="0-1 Miles"/>
    <s v="North America"/>
    <x v="13"/>
    <x v="0"/>
    <s v="No"/>
  </r>
  <r>
    <n v="4"/>
    <s v="Bachelors"/>
    <s v="Management"/>
    <s v="Yes"/>
    <n v="2"/>
    <s v="2-5 Miles"/>
    <s v="North America"/>
    <x v="14"/>
    <x v="1"/>
    <s v="No"/>
  </r>
  <r>
    <n v="3"/>
    <s v="Partial College"/>
    <s v="Clerical"/>
    <s v="No"/>
    <n v="2"/>
    <s v="0-1 Miles"/>
    <s v="North America"/>
    <x v="21"/>
    <x v="0"/>
    <s v="No"/>
  </r>
  <r>
    <n v="3"/>
    <s v="Graduate Degree"/>
    <s v="Management"/>
    <s v="Yes"/>
    <n v="2"/>
    <s v="10+ Miles"/>
    <s v="North America"/>
    <x v="45"/>
    <x v="1"/>
    <s v="No"/>
  </r>
  <r>
    <n v="0"/>
    <s v="Partial College"/>
    <s v="Skilled Manual"/>
    <s v="Yes"/>
    <n v="1"/>
    <s v="5-10 Miles"/>
    <s v="North America"/>
    <x v="26"/>
    <x v="2"/>
    <s v="No"/>
  </r>
  <r>
    <n v="4"/>
    <s v="Graduate Degree"/>
    <s v="Skilled Manual"/>
    <s v="Yes"/>
    <n v="0"/>
    <s v="1-2 Miles"/>
    <s v="North America"/>
    <x v="15"/>
    <x v="0"/>
    <s v="No"/>
  </r>
  <r>
    <n v="3"/>
    <s v="Bachelors"/>
    <s v="Management"/>
    <s v="Yes"/>
    <n v="2"/>
    <s v="10+ Miles"/>
    <s v="North America"/>
    <x v="29"/>
    <x v="1"/>
    <s v="No"/>
  </r>
  <r>
    <n v="2"/>
    <s v="Bachelors"/>
    <s v="Skilled Manual"/>
    <s v="No"/>
    <n v="1"/>
    <s v="0-1 Miles"/>
    <s v="North America"/>
    <x v="34"/>
    <x v="0"/>
    <s v="Yes"/>
  </r>
  <r>
    <n v="2"/>
    <s v="Bachelors"/>
    <s v="Management"/>
    <s v="No"/>
    <n v="3"/>
    <s v="0-1 Miles"/>
    <s v="North America"/>
    <x v="32"/>
    <x v="0"/>
    <s v="Yes"/>
  </r>
  <r>
    <n v="2"/>
    <s v="High School"/>
    <s v="Professional"/>
    <s v="No"/>
    <n v="2"/>
    <s v="1-2 Miles"/>
    <s v="North America"/>
    <x v="36"/>
    <x v="0"/>
    <s v="No"/>
  </r>
  <r>
    <n v="0"/>
    <s v="Graduate Degree"/>
    <s v="Management"/>
    <s v="Yes"/>
    <n v="3"/>
    <s v="1-2 Miles"/>
    <s v="North America"/>
    <x v="8"/>
    <x v="0"/>
    <s v="No"/>
  </r>
  <r>
    <n v="2"/>
    <s v="High School"/>
    <s v="Professional"/>
    <s v="Yes"/>
    <n v="1"/>
    <s v="10+ Miles"/>
    <s v="North America"/>
    <x v="36"/>
    <x v="0"/>
    <s v="Yes"/>
  </r>
  <r>
    <n v="2"/>
    <s v="Bachelors"/>
    <s v="Management"/>
    <s v="Yes"/>
    <n v="0"/>
    <s v="10+ Miles"/>
    <s v="North America"/>
    <x v="42"/>
    <x v="1"/>
    <s v="No"/>
  </r>
  <r>
    <n v="1"/>
    <s v="Graduate Degree"/>
    <s v="Professional"/>
    <s v="No"/>
    <n v="0"/>
    <s v="0-1 Miles"/>
    <s v="North America"/>
    <x v="11"/>
    <x v="0"/>
    <s v="Yes"/>
  </r>
  <r>
    <n v="4"/>
    <s v="High School"/>
    <s v="Professional"/>
    <s v="No"/>
    <n v="2"/>
    <s v="10+ Miles"/>
    <s v="North America"/>
    <x v="33"/>
    <x v="1"/>
    <s v="Yes"/>
  </r>
  <r>
    <n v="5"/>
    <s v="Partial College"/>
    <s v="Professional"/>
    <s v="Yes"/>
    <n v="2"/>
    <s v="5-10 Miles"/>
    <s v="North America"/>
    <x v="20"/>
    <x v="0"/>
    <s v="No"/>
  </r>
  <r>
    <n v="2"/>
    <s v="Partial College"/>
    <s v="Professional"/>
    <s v="Yes"/>
    <n v="0"/>
    <s v="5-10 Miles"/>
    <s v="North America"/>
    <x v="38"/>
    <x v="0"/>
    <s v="Yes"/>
  </r>
  <r>
    <n v="4"/>
    <s v="Graduate Degree"/>
    <s v="Management"/>
    <s v="Yes"/>
    <n v="2"/>
    <s v="5-10 Miles"/>
    <s v="North America"/>
    <x v="43"/>
    <x v="1"/>
    <s v="No"/>
  </r>
  <r>
    <n v="3"/>
    <s v="High School"/>
    <s v="Skilled Manual"/>
    <s v="Yes"/>
    <n v="2"/>
    <s v="2-5 Miles"/>
    <s v="North America"/>
    <x v="44"/>
    <x v="1"/>
    <s v="No"/>
  </r>
  <r>
    <n v="4"/>
    <s v="Partial College"/>
    <s v="Professional"/>
    <s v="Yes"/>
    <n v="1"/>
    <s v="1-2 Miles"/>
    <s v="North America"/>
    <x v="12"/>
    <x v="0"/>
    <s v="No"/>
  </r>
  <r>
    <n v="2"/>
    <s v="High School"/>
    <s v="Professional"/>
    <s v="No"/>
    <n v="1"/>
    <s v="2-5 Miles"/>
    <s v="North America"/>
    <x v="7"/>
    <x v="1"/>
    <s v="Yes"/>
  </r>
  <r>
    <n v="1"/>
    <s v="Graduate Degree"/>
    <s v="Management"/>
    <s v="Yes"/>
    <n v="4"/>
    <s v="0-1 Miles"/>
    <s v="North America"/>
    <x v="3"/>
    <x v="0"/>
    <s v="No"/>
  </r>
  <r>
    <n v="2"/>
    <s v="Partial College"/>
    <s v="Professional"/>
    <s v="Yes"/>
    <n v="1"/>
    <s v="2-5 Miles"/>
    <s v="North America"/>
    <x v="42"/>
    <x v="1"/>
    <s v="Yes"/>
  </r>
  <r>
    <n v="2"/>
    <s v="High School"/>
    <s v="Skilled Manual"/>
    <s v="No"/>
    <n v="2"/>
    <s v="0-1 Miles"/>
    <s v="North America"/>
    <x v="38"/>
    <x v="0"/>
    <s v="No"/>
  </r>
  <r>
    <n v="4"/>
    <s v="Partial College"/>
    <s v="Professional"/>
    <s v="No"/>
    <n v="2"/>
    <s v="0-1 Miles"/>
    <s v="North America"/>
    <x v="1"/>
    <x v="0"/>
    <s v="No"/>
  </r>
  <r>
    <n v="2"/>
    <s v="Partial High School"/>
    <s v="Skilled Manual"/>
    <s v="Yes"/>
    <n v="2"/>
    <s v="5-10 Miles"/>
    <s v="North America"/>
    <x v="31"/>
    <x v="0"/>
    <s v="Yes"/>
  </r>
  <r>
    <n v="1"/>
    <s v="Graduate Degree"/>
    <s v="Professional"/>
    <s v="Yes"/>
    <n v="0"/>
    <s v="0-1 Miles"/>
    <s v="North America"/>
    <x v="11"/>
    <x v="0"/>
    <s v="Yes"/>
  </r>
  <r>
    <n v="0"/>
    <s v="High School"/>
    <s v="Skilled Manual"/>
    <s v="Yes"/>
    <n v="2"/>
    <s v="5-10 Miles"/>
    <s v="North America"/>
    <x v="40"/>
    <x v="2"/>
    <s v="No"/>
  </r>
  <r>
    <n v="3"/>
    <s v="High School"/>
    <s v="Professional"/>
    <s v="Yes"/>
    <n v="0"/>
    <s v="5-10 Miles"/>
    <s v="North America"/>
    <x v="31"/>
    <x v="0"/>
    <s v="Yes"/>
  </r>
  <r>
    <n v="2"/>
    <s v="Bachelors"/>
    <s v="Skilled Manual"/>
    <s v="Yes"/>
    <n v="0"/>
    <s v="2-5 Miles"/>
    <s v="North America"/>
    <x v="4"/>
    <x v="0"/>
    <s v="No"/>
  </r>
  <r>
    <n v="5"/>
    <s v="Graduate Degree"/>
    <s v="Professional"/>
    <s v="Yes"/>
    <n v="3"/>
    <s v="10+ Miles"/>
    <s v="North America"/>
    <x v="30"/>
    <x v="0"/>
    <s v="Yes"/>
  </r>
  <r>
    <n v="3"/>
    <s v="Partial High School"/>
    <s v="Skilled Manual"/>
    <s v="Yes"/>
    <n v="2"/>
    <s v="5-10 Miles"/>
    <s v="North America"/>
    <x v="31"/>
    <x v="0"/>
    <s v="Yes"/>
  </r>
  <r>
    <n v="0"/>
    <s v="Bachelors"/>
    <s v="Professional"/>
    <s v="No"/>
    <n v="1"/>
    <s v="0-1 Miles"/>
    <s v="North America"/>
    <x v="1"/>
    <x v="0"/>
    <s v="No"/>
  </r>
  <r>
    <n v="1"/>
    <s v="Partial College"/>
    <s v="Skilled Manual"/>
    <s v="Yes"/>
    <n v="1"/>
    <s v="2-5 Miles"/>
    <s v="North America"/>
    <x v="20"/>
    <x v="0"/>
    <s v="No"/>
  </r>
  <r>
    <n v="0"/>
    <s v="Bachelors"/>
    <s v="Management"/>
    <s v="Yes"/>
    <n v="1"/>
    <s v="1-2 Miles"/>
    <s v="North America"/>
    <x v="17"/>
    <x v="0"/>
    <s v="Yes"/>
  </r>
  <r>
    <n v="0"/>
    <s v="Partial High School"/>
    <s v="Clerical"/>
    <s v="Yes"/>
    <n v="2"/>
    <s v="5-10 Miles"/>
    <s v="North America"/>
    <x v="40"/>
    <x v="2"/>
    <s v="No"/>
  </r>
  <r>
    <n v="1"/>
    <s v="Partial College"/>
    <s v="Professional"/>
    <s v="Yes"/>
    <n v="4"/>
    <s v="5-10 Miles"/>
    <s v="North America"/>
    <x v="12"/>
    <x v="0"/>
    <s v="Yes"/>
  </r>
  <r>
    <n v="3"/>
    <s v="Partial College"/>
    <s v="Professional"/>
    <s v="Yes"/>
    <n v="4"/>
    <s v="1-2 Miles"/>
    <s v="North America"/>
    <x v="12"/>
    <x v="0"/>
    <s v="No"/>
  </r>
  <r>
    <n v="4"/>
    <s v="Graduate Degree"/>
    <s v="Skilled Manual"/>
    <s v="No"/>
    <n v="0"/>
    <s v="0-1 Miles"/>
    <s v="North America"/>
    <x v="15"/>
    <x v="0"/>
    <s v="Yes"/>
  </r>
  <r>
    <n v="4"/>
    <s v="Graduate Degree"/>
    <s v="Skilled Manual"/>
    <s v="Yes"/>
    <n v="0"/>
    <s v="1-2 Miles"/>
    <s v="North America"/>
    <x v="15"/>
    <x v="0"/>
    <s v="No"/>
  </r>
  <r>
    <n v="4"/>
    <s v="High School"/>
    <s v="Skilled Manual"/>
    <s v="Yes"/>
    <n v="2"/>
    <s v="2-5 Miles"/>
    <s v="North America"/>
    <x v="20"/>
    <x v="0"/>
    <s v="Yes"/>
  </r>
  <r>
    <n v="3"/>
    <s v="Partial High School"/>
    <s v="Clerical"/>
    <s v="No"/>
    <n v="2"/>
    <s v="0-1 Miles"/>
    <s v="North America"/>
    <x v="38"/>
    <x v="0"/>
    <s v="No"/>
  </r>
  <r>
    <n v="0"/>
    <s v="High School"/>
    <s v="Skilled Manual"/>
    <s v="Yes"/>
    <n v="1"/>
    <s v="5-10 Miles"/>
    <s v="North America"/>
    <x v="25"/>
    <x v="2"/>
    <s v="No"/>
  </r>
  <r>
    <n v="4"/>
    <s v="Partial College"/>
    <s v="Professional"/>
    <s v="Yes"/>
    <n v="4"/>
    <s v="2-5 Miles"/>
    <s v="North America"/>
    <x v="3"/>
    <x v="0"/>
    <s v="Yes"/>
  </r>
  <r>
    <n v="4"/>
    <s v="Bachelors"/>
    <s v="Management"/>
    <s v="Yes"/>
    <n v="1"/>
    <s v="1-2 Miles"/>
    <s v="North America"/>
    <x v="7"/>
    <x v="1"/>
    <s v="No"/>
  </r>
  <r>
    <n v="5"/>
    <s v="Bachelors"/>
    <s v="Professional"/>
    <s v="Yes"/>
    <n v="1"/>
    <s v="2-5 Miles"/>
    <s v="North America"/>
    <x v="15"/>
    <x v="0"/>
    <s v="No"/>
  </r>
  <r>
    <n v="4"/>
    <s v="Partial College"/>
    <s v="Professional"/>
    <s v="Yes"/>
    <n v="1"/>
    <s v="1-2 Miles"/>
    <s v="North America"/>
    <x v="10"/>
    <x v="1"/>
    <s v="No"/>
  </r>
  <r>
    <n v="0"/>
    <s v="Partial College"/>
    <s v="Skilled Manual"/>
    <s v="No"/>
    <n v="2"/>
    <s v="0-1 Miles"/>
    <s v="North America"/>
    <x v="40"/>
    <x v="2"/>
    <s v="Yes"/>
  </r>
  <r>
    <n v="3"/>
    <s v="Graduate Degree"/>
    <s v="Management"/>
    <s v="Yes"/>
    <n v="2"/>
    <s v="1-2 Miles"/>
    <s v="North America"/>
    <x v="41"/>
    <x v="1"/>
    <s v="No"/>
  </r>
  <r>
    <n v="0"/>
    <s v="Partial College"/>
    <s v="Skilled Manual"/>
    <s v="Yes"/>
    <n v="2"/>
    <s v="5-10 Miles"/>
    <s v="North America"/>
    <x v="19"/>
    <x v="2"/>
    <s v="No"/>
  </r>
  <r>
    <n v="3"/>
    <s v="Graduate Degree"/>
    <s v="Management"/>
    <s v="Yes"/>
    <n v="2"/>
    <s v="1-2 Miles"/>
    <s v="North America"/>
    <x v="41"/>
    <x v="1"/>
    <s v="No"/>
  </r>
  <r>
    <n v="3"/>
    <s v="Partial College"/>
    <s v="Professional"/>
    <s v="No"/>
    <n v="1"/>
    <s v="1-2 Miles"/>
    <s v="North America"/>
    <x v="36"/>
    <x v="0"/>
    <s v="Yes"/>
  </r>
  <r>
    <n v="1"/>
    <s v="Graduate Degree"/>
    <s v="Skilled Manual"/>
    <s v="Yes"/>
    <n v="0"/>
    <s v="0-1 Miles"/>
    <s v="North America"/>
    <x v="11"/>
    <x v="0"/>
    <s v="No"/>
  </r>
  <r>
    <n v="0"/>
    <s v="High School"/>
    <s v="Skilled Manual"/>
    <s v="No"/>
    <n v="2"/>
    <s v="1-2 Miles"/>
    <s v="North America"/>
    <x v="25"/>
    <x v="2"/>
    <s v="No"/>
  </r>
  <r>
    <n v="5"/>
    <s v="Partial College"/>
    <s v="Professional"/>
    <s v="Yes"/>
    <n v="3"/>
    <s v="2-5 Miles"/>
    <s v="North America"/>
    <x v="20"/>
    <x v="0"/>
    <s v="No"/>
  </r>
  <r>
    <n v="4"/>
    <s v="Graduate Degree"/>
    <s v="Skilled Manual"/>
    <s v="Yes"/>
    <n v="0"/>
    <s v="1-2 Miles"/>
    <s v="North America"/>
    <x v="28"/>
    <x v="0"/>
    <s v="No"/>
  </r>
  <r>
    <n v="1"/>
    <s v="Bachelors"/>
    <s v="Management"/>
    <s v="Yes"/>
    <n v="2"/>
    <s v="0-1 Miles"/>
    <s v="North America"/>
    <x v="12"/>
    <x v="0"/>
    <s v="Yes"/>
  </r>
  <r>
    <n v="3"/>
    <s v="Bachelors"/>
    <s v="Management"/>
    <s v="No"/>
    <n v="2"/>
    <s v="1-2 Miles"/>
    <s v="North America"/>
    <x v="29"/>
    <x v="1"/>
    <s v="No"/>
  </r>
  <r>
    <n v="2"/>
    <s v="High School"/>
    <s v="Skilled Manual"/>
    <s v="No"/>
    <n v="2"/>
    <s v="0-1 Miles"/>
    <s v="North America"/>
    <x v="38"/>
    <x v="0"/>
    <s v="No"/>
  </r>
  <r>
    <n v="4"/>
    <s v="Partial College"/>
    <s v="Professional"/>
    <s v="Yes"/>
    <n v="3"/>
    <s v="5-10 Miles"/>
    <s v="North America"/>
    <x v="1"/>
    <x v="0"/>
    <s v="Yes"/>
  </r>
  <r>
    <n v="0"/>
    <s v="High School"/>
    <s v="Skilled Manual"/>
    <s v="No"/>
    <n v="2"/>
    <s v="1-2 Miles"/>
    <s v="North America"/>
    <x v="25"/>
    <x v="2"/>
    <s v="No"/>
  </r>
  <r>
    <n v="0"/>
    <s v="Graduate Degree"/>
    <s v="Management"/>
    <s v="Yes"/>
    <n v="2"/>
    <s v="5-10 Miles"/>
    <s v="North America"/>
    <x v="50"/>
    <x v="1"/>
    <s v="Yes"/>
  </r>
  <r>
    <n v="2"/>
    <s v="Graduate Degree"/>
    <s v="Management"/>
    <s v="Yes"/>
    <n v="3"/>
    <s v="1-2 Miles"/>
    <s v="North America"/>
    <x v="27"/>
    <x v="1"/>
    <s v="No"/>
  </r>
  <r>
    <n v="2"/>
    <s v="Partial College"/>
    <s v="Professional"/>
    <s v="Yes"/>
    <n v="2"/>
    <s v="2-5 Miles"/>
    <s v="North America"/>
    <x v="16"/>
    <x v="1"/>
    <s v="Yes"/>
  </r>
  <r>
    <n v="4"/>
    <s v="Bachelors"/>
    <s v="Management"/>
    <s v="Yes"/>
    <n v="2"/>
    <s v="10+ Miles"/>
    <s v="North America"/>
    <x v="46"/>
    <x v="1"/>
    <s v="No"/>
  </r>
  <r>
    <n v="3"/>
    <s v="Partial College"/>
    <s v="Professional"/>
    <s v="Yes"/>
    <n v="2"/>
    <s v="5-10 Miles"/>
    <s v="North America"/>
    <x v="5"/>
    <x v="0"/>
    <s v="Yes"/>
  </r>
  <r>
    <n v="3"/>
    <s v="Graduate Degree"/>
    <s v="Professional"/>
    <s v="Yes"/>
    <n v="0"/>
    <s v="2-5 Miles"/>
    <s v="North America"/>
    <x v="11"/>
    <x v="0"/>
    <s v="Yes"/>
  </r>
  <r>
    <n v="5"/>
    <s v="Bachelors"/>
    <s v="Skilled Manual"/>
    <s v="Yes"/>
    <n v="3"/>
    <s v="10+ Miles"/>
    <s v="North America"/>
    <x v="3"/>
    <x v="0"/>
    <s v="No"/>
  </r>
  <r>
    <n v="0"/>
    <s v="Graduate Degree"/>
    <s v="Skilled Manual"/>
    <s v="Yes"/>
    <n v="0"/>
    <s v="0-1 Miles"/>
    <s v="North America"/>
    <x v="32"/>
    <x v="0"/>
    <s v="No"/>
  </r>
  <r>
    <n v="4"/>
    <s v="Graduate Degree"/>
    <s v="Skilled Manual"/>
    <s v="No"/>
    <n v="0"/>
    <s v="1-2 Miles"/>
    <s v="North America"/>
    <x v="15"/>
    <x v="0"/>
    <s v="No"/>
  </r>
  <r>
    <n v="0"/>
    <s v="High School"/>
    <s v="Skilled Manual"/>
    <s v="Yes"/>
    <n v="2"/>
    <s v="5-10 Miles"/>
    <s v="North America"/>
    <x v="23"/>
    <x v="0"/>
    <s v="No"/>
  </r>
  <r>
    <n v="2"/>
    <s v="Bachelors"/>
    <s v="Management"/>
    <s v="No"/>
    <n v="1"/>
    <s v="2-5 Miles"/>
    <s v="North America"/>
    <x v="7"/>
    <x v="1"/>
    <s v="Yes"/>
  </r>
  <r>
    <n v="0"/>
    <s v="Bachelors"/>
    <s v="Professional"/>
    <s v="No"/>
    <n v="1"/>
    <s v="2-5 Miles"/>
    <s v="North America"/>
    <x v="13"/>
    <x v="0"/>
    <s v="Yes"/>
  </r>
  <r>
    <n v="5"/>
    <s v="Graduate Degree"/>
    <s v="Management"/>
    <s v="Yes"/>
    <n v="2"/>
    <s v="10+ Miles"/>
    <s v="North America"/>
    <x v="41"/>
    <x v="1"/>
    <s v="Yes"/>
  </r>
  <r>
    <n v="0"/>
    <s v="Partial College"/>
    <s v="Professional"/>
    <s v="No"/>
    <n v="2"/>
    <s v="1-2 Miles"/>
    <s v="North America"/>
    <x v="21"/>
    <x v="0"/>
    <s v="Yes"/>
  </r>
  <r>
    <n v="5"/>
    <s v="Partial College"/>
    <s v="Professional"/>
    <s v="No"/>
    <n v="3"/>
    <s v="5-10 Miles"/>
    <s v="North America"/>
    <x v="12"/>
    <x v="0"/>
    <s v="No"/>
  </r>
  <r>
    <n v="0"/>
    <s v="High School"/>
    <s v="Skilled Manual"/>
    <s v="No"/>
    <n v="2"/>
    <s v="1-2 Miles"/>
    <s v="North America"/>
    <x v="23"/>
    <x v="0"/>
    <s v="Yes"/>
  </r>
  <r>
    <n v="0"/>
    <s v="High School"/>
    <s v="Skilled Manual"/>
    <s v="No"/>
    <n v="2"/>
    <s v="1-2 Miles"/>
    <s v="North America"/>
    <x v="23"/>
    <x v="0"/>
    <s v="Yes"/>
  </r>
  <r>
    <n v="3"/>
    <s v="Partial College"/>
    <s v="Clerical"/>
    <s v="Yes"/>
    <n v="1"/>
    <s v="0-1 Miles"/>
    <s v="North America"/>
    <x v="23"/>
    <x v="0"/>
    <s v="No"/>
  </r>
  <r>
    <n v="2"/>
    <s v="High School"/>
    <s v="Professional"/>
    <s v="No"/>
    <n v="2"/>
    <s v="5-10 Miles"/>
    <s v="North America"/>
    <x v="5"/>
    <x v="0"/>
    <s v="No"/>
  </r>
  <r>
    <n v="1"/>
    <s v="Partial College"/>
    <s v="Skilled Manual"/>
    <s v="Yes"/>
    <n v="1"/>
    <s v="0-1 Miles"/>
    <s v="North America"/>
    <x v="20"/>
    <x v="0"/>
    <s v="No"/>
  </r>
  <r>
    <n v="2"/>
    <s v="Bachelors"/>
    <s v="Skilled Manual"/>
    <s v="Yes"/>
    <n v="1"/>
    <s v="2-5 Miles"/>
    <s v="North America"/>
    <x v="13"/>
    <x v="0"/>
    <s v="Yes"/>
  </r>
  <r>
    <n v="4"/>
    <s v="Bachelors"/>
    <s v="Management"/>
    <s v="Yes"/>
    <n v="2"/>
    <s v="10+ Miles"/>
    <s v="North America"/>
    <x v="18"/>
    <x v="1"/>
    <s v="No"/>
  </r>
  <r>
    <n v="1"/>
    <s v="Graduate Degree"/>
    <s v="Professional"/>
    <s v="Yes"/>
    <n v="0"/>
    <s v="2-5 Miles"/>
    <s v="North America"/>
    <x v="4"/>
    <x v="0"/>
    <s v="Yes"/>
  </r>
  <r>
    <n v="0"/>
    <s v="High School"/>
    <s v="Skilled Manual"/>
    <s v="No"/>
    <n v="2"/>
    <s v="0-1 Miles"/>
    <s v="North America"/>
    <x v="26"/>
    <x v="2"/>
    <s v="Yes"/>
  </r>
  <r>
    <n v="1"/>
    <s v="Partial College"/>
    <s v="Professional"/>
    <s v="No"/>
    <n v="3"/>
    <s v="1-2 Miles"/>
    <s v="North America"/>
    <x v="20"/>
    <x v="0"/>
    <s v="No"/>
  </r>
  <r>
    <n v="5"/>
    <s v="Graduate Degree"/>
    <s v="Professional"/>
    <s v="Yes"/>
    <n v="1"/>
    <s v="0-1 Miles"/>
    <s v="North America"/>
    <x v="15"/>
    <x v="0"/>
    <s v="No"/>
  </r>
  <r>
    <n v="0"/>
    <s v="Graduate Degree"/>
    <s v="Skilled Manual"/>
    <s v="Yes"/>
    <n v="0"/>
    <s v="1-2 Miles"/>
    <s v="North America"/>
    <x v="8"/>
    <x v="0"/>
    <s v="Yes"/>
  </r>
  <r>
    <n v="1"/>
    <s v="Graduate Degree"/>
    <s v="Management"/>
    <s v="Yes"/>
    <n v="4"/>
    <s v="0-1 Miles"/>
    <s v="North America"/>
    <x v="8"/>
    <x v="0"/>
    <s v="No"/>
  </r>
  <r>
    <n v="1"/>
    <s v="Partial College"/>
    <s v="Skilled Manual"/>
    <s v="Yes"/>
    <n v="1"/>
    <s v="2-5 Miles"/>
    <s v="North America"/>
    <x v="30"/>
    <x v="0"/>
    <s v="Yes"/>
  </r>
  <r>
    <n v="5"/>
    <s v="High School"/>
    <s v="Professional"/>
    <s v="No"/>
    <n v="2"/>
    <s v="10+ Miles"/>
    <s v="North America"/>
    <x v="33"/>
    <x v="1"/>
    <s v="No"/>
  </r>
  <r>
    <n v="0"/>
    <s v="Graduate Degree"/>
    <s v="Professional"/>
    <s v="Yes"/>
    <n v="0"/>
    <s v="0-1 Miles"/>
    <s v="North America"/>
    <x v="8"/>
    <x v="0"/>
    <s v="No"/>
  </r>
  <r>
    <n v="2"/>
    <s v="High School"/>
    <s v="Professional"/>
    <s v="Yes"/>
    <n v="2"/>
    <s v="5-10 Miles"/>
    <s v="North America"/>
    <x v="5"/>
    <x v="0"/>
    <s v="No"/>
  </r>
  <r>
    <n v="2"/>
    <s v="Partial College"/>
    <s v="Professional"/>
    <s v="Yes"/>
    <n v="1"/>
    <s v="10+ Miles"/>
    <s v="North America"/>
    <x v="14"/>
    <x v="1"/>
    <s v="No"/>
  </r>
  <r>
    <n v="1"/>
    <s v="Graduate Degree"/>
    <s v="Professional"/>
    <s v="Yes"/>
    <n v="0"/>
    <s v="2-5 Miles"/>
    <s v="North America"/>
    <x v="4"/>
    <x v="0"/>
    <s v="Yes"/>
  </r>
  <r>
    <n v="0"/>
    <s v="High School"/>
    <s v="Skilled Manual"/>
    <s v="Yes"/>
    <n v="2"/>
    <s v="5-10 Miles"/>
    <s v="North America"/>
    <x v="25"/>
    <x v="2"/>
    <s v="No"/>
  </r>
  <r>
    <n v="4"/>
    <s v="Graduate Degree"/>
    <s v="Professional"/>
    <s v="Yes"/>
    <n v="0"/>
    <s v="2-5 Miles"/>
    <s v="North America"/>
    <x v="11"/>
    <x v="0"/>
    <s v="Yes"/>
  </r>
  <r>
    <n v="2"/>
    <s v="High School"/>
    <s v="Skilled Manual"/>
    <s v="Yes"/>
    <n v="2"/>
    <s v="1-2 Miles"/>
    <s v="North America"/>
    <x v="28"/>
    <x v="0"/>
    <s v="No"/>
  </r>
  <r>
    <n v="3"/>
    <s v="Bachelors"/>
    <s v="Management"/>
    <s v="Yes"/>
    <n v="4"/>
    <s v="0-1 Miles"/>
    <s v="North America"/>
    <x v="3"/>
    <x v="0"/>
    <s v="No"/>
  </r>
  <r>
    <n v="2"/>
    <s v="Partial College"/>
    <s v="Clerical"/>
    <s v="Yes"/>
    <n v="1"/>
    <s v="0-1 Miles"/>
    <s v="North America"/>
    <x v="15"/>
    <x v="0"/>
    <s v="No"/>
  </r>
  <r>
    <n v="4"/>
    <s v="Graduate Degree"/>
    <s v="Skilled Manual"/>
    <s v="No"/>
    <n v="0"/>
    <s v="0-1 Miles"/>
    <s v="North America"/>
    <x v="15"/>
    <x v="0"/>
    <s v="No"/>
  </r>
  <r>
    <n v="5"/>
    <s v="Bachelors"/>
    <s v="Management"/>
    <s v="No"/>
    <n v="2"/>
    <s v="2-5 Miles"/>
    <s v="Europe"/>
    <x v="24"/>
    <x v="1"/>
    <s v="No"/>
  </r>
  <r>
    <n v="4"/>
    <s v="Bachelors"/>
    <s v="Management"/>
    <s v="Yes"/>
    <n v="2"/>
    <s v="10+ Miles"/>
    <s v="North America"/>
    <x v="2"/>
    <x v="1"/>
    <s v="No"/>
  </r>
  <r>
    <n v="0"/>
    <s v="Partial College"/>
    <s v="Skilled Manual"/>
    <s v="No"/>
    <n v="1"/>
    <s v="1-2 Miles"/>
    <s v="North America"/>
    <x v="6"/>
    <x v="0"/>
    <s v="No"/>
  </r>
  <r>
    <n v="4"/>
    <s v="Graduate Degree"/>
    <s v="Skilled Manual"/>
    <s v="No"/>
    <n v="0"/>
    <s v="0-1 Miles"/>
    <s v="North America"/>
    <x v="15"/>
    <x v="0"/>
    <s v="No"/>
  </r>
  <r>
    <n v="3"/>
    <s v="Partial High School"/>
    <s v="Clerical"/>
    <s v="No"/>
    <n v="2"/>
    <s v="0-1 Miles"/>
    <s v="North America"/>
    <x v="31"/>
    <x v="0"/>
    <s v="No"/>
  </r>
  <r>
    <n v="5"/>
    <s v="Partial College"/>
    <s v="Professional"/>
    <s v="Yes"/>
    <n v="3"/>
    <s v="2-5 Miles"/>
    <s v="North America"/>
    <x v="8"/>
    <x v="0"/>
    <s v="No"/>
  </r>
  <r>
    <n v="4"/>
    <s v="Bachelors"/>
    <s v="Skilled Manual"/>
    <s v="No"/>
    <n v="2"/>
    <s v="0-1 Miles"/>
    <s v="North America"/>
    <x v="0"/>
    <x v="0"/>
    <s v="No"/>
  </r>
  <r>
    <n v="3"/>
    <s v="Graduate Degree"/>
    <s v="Management"/>
    <s v="Yes"/>
    <n v="2"/>
    <s v="5-10 Miles"/>
    <s v="North America"/>
    <x v="39"/>
    <x v="0"/>
    <s v="Yes"/>
  </r>
  <r>
    <n v="1"/>
    <s v="Partial College"/>
    <s v="Clerical"/>
    <s v="Yes"/>
    <n v="1"/>
    <s v="1-2 Miles"/>
    <s v="North America"/>
    <x v="36"/>
    <x v="0"/>
    <s v="Yes"/>
  </r>
  <r>
    <n v="0"/>
    <s v="Partial College"/>
    <s v="Skilled Manual"/>
    <s v="Yes"/>
    <n v="2"/>
    <s v="5-10 Miles"/>
    <s v="North America"/>
    <x v="25"/>
    <x v="2"/>
    <s v="No"/>
  </r>
  <r>
    <n v="0"/>
    <s v="Bachelors"/>
    <s v="Skilled Manual"/>
    <s v="No"/>
    <n v="2"/>
    <s v="0-1 Miles"/>
    <s v="North America"/>
    <x v="25"/>
    <x v="2"/>
    <s v="No"/>
  </r>
  <r>
    <n v="0"/>
    <s v="High School"/>
    <s v="Skilled Manual"/>
    <s v="Yes"/>
    <n v="2"/>
    <s v="5-10 Miles"/>
    <s v="North America"/>
    <x v="22"/>
    <x v="2"/>
    <s v="No"/>
  </r>
  <r>
    <n v="1"/>
    <s v="Bachelors"/>
    <s v="Management"/>
    <s v="No"/>
    <n v="1"/>
    <s v="2-5 Miles"/>
    <s v="North America"/>
    <x v="12"/>
    <x v="0"/>
    <s v="No"/>
  </r>
  <r>
    <n v="1"/>
    <s v="Bachelors"/>
    <s v="Skilled Manual"/>
    <s v="Yes"/>
    <n v="0"/>
    <s v="0-1 Miles"/>
    <s v="North America"/>
    <x v="17"/>
    <x v="0"/>
    <s v="Yes"/>
  </r>
  <r>
    <n v="1"/>
    <s v="Bachelors"/>
    <s v="Professional"/>
    <s v="Yes"/>
    <n v="1"/>
    <s v="2-5 Miles"/>
    <s v="North America"/>
    <x v="20"/>
    <x v="0"/>
    <s v="Yes"/>
  </r>
  <r>
    <n v="4"/>
    <s v="Bachelors"/>
    <s v="Skilled Manual"/>
    <s v="No"/>
    <n v="2"/>
    <s v="0-1 Miles"/>
    <s v="North America"/>
    <x v="3"/>
    <x v="0"/>
    <s v="Yes"/>
  </r>
  <r>
    <n v="3"/>
    <s v="Graduate Degree"/>
    <s v="Professional"/>
    <s v="No"/>
    <n v="0"/>
    <s v="0-1 Miles"/>
    <s v="North America"/>
    <x v="4"/>
    <x v="0"/>
    <s v="Yes"/>
  </r>
  <r>
    <n v="5"/>
    <s v="Partial College"/>
    <s v="Professional"/>
    <s v="Yes"/>
    <n v="2"/>
    <s v="0-1 Miles"/>
    <s v="North America"/>
    <x v="20"/>
    <x v="0"/>
    <s v="No"/>
  </r>
  <r>
    <n v="0"/>
    <s v="Partial College"/>
    <s v="Professional"/>
    <s v="No"/>
    <n v="2"/>
    <s v="1-2 Miles"/>
    <s v="North America"/>
    <x v="25"/>
    <x v="2"/>
    <s v="No"/>
  </r>
  <r>
    <n v="0"/>
    <s v="Partial High School"/>
    <s v="Clerical"/>
    <s v="No"/>
    <n v="2"/>
    <s v="0-1 Miles"/>
    <s v="North America"/>
    <x v="26"/>
    <x v="2"/>
    <s v="No"/>
  </r>
  <r>
    <n v="2"/>
    <s v="Partial High School"/>
    <s v="Clerical"/>
    <s v="Yes"/>
    <n v="2"/>
    <s v="1-2 Miles"/>
    <s v="North America"/>
    <x v="38"/>
    <x v="0"/>
    <s v="No"/>
  </r>
  <r>
    <n v="0"/>
    <s v="Partial College"/>
    <s v="Professional"/>
    <s v="No"/>
    <n v="2"/>
    <s v="0-1 Miles"/>
    <s v="North America"/>
    <x v="1"/>
    <x v="0"/>
    <s v="Yes"/>
  </r>
  <r>
    <n v="4"/>
    <s v="Bachelors"/>
    <s v="Management"/>
    <s v="Yes"/>
    <n v="1"/>
    <s v="1-2 Miles"/>
    <s v="North America"/>
    <x v="14"/>
    <x v="1"/>
    <s v="No"/>
  </r>
  <r>
    <n v="0"/>
    <s v="High School"/>
    <s v="Skilled Manual"/>
    <s v="Yes"/>
    <n v="2"/>
    <s v="5-10 Miles"/>
    <s v="North America"/>
    <x v="22"/>
    <x v="2"/>
    <s v="No"/>
  </r>
  <r>
    <n v="1"/>
    <s v="High School"/>
    <s v="Professional"/>
    <s v="Yes"/>
    <n v="4"/>
    <s v="5-10 Miles"/>
    <s v="North America"/>
    <x v="30"/>
    <x v="0"/>
    <s v="Yes"/>
  </r>
  <r>
    <n v="0"/>
    <s v="Graduate Degree"/>
    <s v="Skilled Manual"/>
    <s v="Yes"/>
    <n v="0"/>
    <s v="1-2 Miles"/>
    <s v="North America"/>
    <x v="6"/>
    <x v="0"/>
    <s v="No"/>
  </r>
  <r>
    <n v="0"/>
    <s v="Bachelors"/>
    <s v="Professional"/>
    <s v="Yes"/>
    <n v="1"/>
    <s v="2-5 Miles"/>
    <s v="North America"/>
    <x v="0"/>
    <x v="0"/>
    <s v="Yes"/>
  </r>
  <r>
    <n v="4"/>
    <s v="Bachelors"/>
    <s v="Management"/>
    <s v="Yes"/>
    <n v="1"/>
    <s v="10+ Miles"/>
    <s v="North America"/>
    <x v="14"/>
    <x v="1"/>
    <s v="No"/>
  </r>
  <r>
    <n v="0"/>
    <s v="Partial College"/>
    <s v="Skilled Manual"/>
    <s v="No"/>
    <n v="1"/>
    <s v="1-2 Miles"/>
    <s v="North America"/>
    <x v="6"/>
    <x v="0"/>
    <s v="Yes"/>
  </r>
  <r>
    <n v="1"/>
    <s v="Partial College"/>
    <s v="Skilled Manual"/>
    <s v="Yes"/>
    <n v="1"/>
    <s v="0-1 Miles"/>
    <s v="North America"/>
    <x v="20"/>
    <x v="0"/>
    <s v="Yes"/>
  </r>
  <r>
    <n v="5"/>
    <s v="Bachelors"/>
    <s v="Management"/>
    <s v="Yes"/>
    <n v="4"/>
    <s v="10+ Miles"/>
    <s v="North America"/>
    <x v="2"/>
    <x v="1"/>
    <s v="No"/>
  </r>
  <r>
    <n v="2"/>
    <s v="Bachelors"/>
    <s v="Management"/>
    <s v="Yes"/>
    <n v="1"/>
    <s v="10+ Miles"/>
    <s v="North America"/>
    <x v="14"/>
    <x v="1"/>
    <s v="No"/>
  </r>
  <r>
    <n v="0"/>
    <s v="High School"/>
    <s v="Professional"/>
    <s v="Yes"/>
    <n v="2"/>
    <s v="5-10 Miles"/>
    <s v="North America"/>
    <x v="21"/>
    <x v="0"/>
    <s v="Yes"/>
  </r>
  <r>
    <n v="2"/>
    <s v="Partial College"/>
    <s v="Professional"/>
    <s v="Yes"/>
    <n v="1"/>
    <s v="10+ Miles"/>
    <s v="North America"/>
    <x v="7"/>
    <x v="1"/>
    <s v="No"/>
  </r>
  <r>
    <n v="2"/>
    <s v="High School"/>
    <s v="Professional"/>
    <s v="No"/>
    <n v="2"/>
    <s v="2-5 Miles"/>
    <s v="North America"/>
    <x v="14"/>
    <x v="1"/>
    <s v="No"/>
  </r>
  <r>
    <n v="2"/>
    <s v="Bachelors"/>
    <s v="Skilled Manual"/>
    <s v="Yes"/>
    <n v="1"/>
    <s v="2-5 Miles"/>
    <s v="North America"/>
    <x v="13"/>
    <x v="0"/>
    <s v="No"/>
  </r>
  <r>
    <n v="0"/>
    <s v="High School"/>
    <s v="Skilled Manual"/>
    <s v="Yes"/>
    <n v="2"/>
    <s v="5-10 Miles"/>
    <s v="North America"/>
    <x v="26"/>
    <x v="2"/>
    <s v="Yes"/>
  </r>
  <r>
    <n v="1"/>
    <s v="Graduate Degree"/>
    <s v="Professional"/>
    <s v="Yes"/>
    <n v="0"/>
    <s v="2-5 Miles"/>
    <s v="North America"/>
    <x v="34"/>
    <x v="0"/>
    <s v="Yes"/>
  </r>
  <r>
    <n v="0"/>
    <s v="Graduate Degree"/>
    <s v="Skilled Manual"/>
    <s v="No"/>
    <n v="0"/>
    <s v="0-1 Miles"/>
    <s v="North America"/>
    <x v="8"/>
    <x v="0"/>
    <s v="No"/>
  </r>
  <r>
    <n v="4"/>
    <s v="Bachelors"/>
    <s v="Management"/>
    <s v="Yes"/>
    <n v="1"/>
    <s v="1-2 Miles"/>
    <s v="North America"/>
    <x v="13"/>
    <x v="0"/>
    <s v="Yes"/>
  </r>
  <r>
    <n v="4"/>
    <s v="Graduate Degree"/>
    <s v="Professional"/>
    <s v="Yes"/>
    <n v="0"/>
    <s v="2-5 Miles"/>
    <s v="North America"/>
    <x v="4"/>
    <x v="0"/>
    <s v="Yes"/>
  </r>
  <r>
    <n v="5"/>
    <s v="Graduate Degree"/>
    <s v="Professional"/>
    <s v="Yes"/>
    <n v="2"/>
    <s v="0-1 Miles"/>
    <s v="North America"/>
    <x v="34"/>
    <x v="0"/>
    <s v="No"/>
  </r>
  <r>
    <n v="5"/>
    <s v="High School"/>
    <s v="Professional"/>
    <s v="No"/>
    <n v="3"/>
    <s v="2-5 Miles"/>
    <s v="North America"/>
    <x v="2"/>
    <x v="1"/>
    <s v="Yes"/>
  </r>
  <r>
    <n v="4"/>
    <s v="Bachelors"/>
    <s v="Management"/>
    <s v="Yes"/>
    <n v="4"/>
    <s v="5-10 Miles"/>
    <s v="North America"/>
    <x v="0"/>
    <x v="0"/>
    <s v="Yes"/>
  </r>
  <r>
    <n v="3"/>
    <s v="Graduate Degree"/>
    <s v="Management"/>
    <s v="No"/>
    <n v="2"/>
    <s v="1-2 Miles"/>
    <s v="North America"/>
    <x v="39"/>
    <x v="0"/>
    <s v="No"/>
  </r>
  <r>
    <n v="2"/>
    <s v="Partial High School"/>
    <s v="Skilled Manual"/>
    <s v="Yes"/>
    <n v="2"/>
    <s v="5-10 Miles"/>
    <s v="North America"/>
    <x v="38"/>
    <x v="0"/>
    <s v="No"/>
  </r>
  <r>
    <n v="2"/>
    <s v="High School"/>
    <s v="Skilled Manual"/>
    <s v="Yes"/>
    <n v="2"/>
    <s v="1-2 Miles"/>
    <s v="North America"/>
    <x v="38"/>
    <x v="0"/>
    <s v="No"/>
  </r>
  <r>
    <n v="2"/>
    <s v="Graduate Degree"/>
    <s v="Management"/>
    <s v="Yes"/>
    <n v="3"/>
    <s v="0-1 Miles"/>
    <s v="North America"/>
    <x v="0"/>
    <x v="0"/>
    <s v="Yes"/>
  </r>
  <r>
    <n v="2"/>
    <s v="High School"/>
    <s v="Manual"/>
    <s v="No"/>
    <n v="2"/>
    <s v="0-1 Miles"/>
    <s v="North America"/>
    <x v="39"/>
    <x v="0"/>
    <s v="No"/>
  </r>
  <r>
    <n v="1"/>
    <s v="Graduate Degree"/>
    <s v="Professional"/>
    <s v="Yes"/>
    <n v="1"/>
    <s v="0-1 Miles"/>
    <s v="North America"/>
    <x v="30"/>
    <x v="0"/>
    <s v="Yes"/>
  </r>
  <r>
    <n v="0"/>
    <s v="High School"/>
    <s v="Skilled Manual"/>
    <s v="Yes"/>
    <n v="2"/>
    <s v="5-10 Miles"/>
    <s v="North America"/>
    <x v="40"/>
    <x v="2"/>
    <s v="No"/>
  </r>
  <r>
    <n v="3"/>
    <s v="Bachelors"/>
    <s v="Professional"/>
    <s v="Yes"/>
    <n v="1"/>
    <s v="0-1 Miles"/>
    <s v="North America"/>
    <x v="28"/>
    <x v="0"/>
    <s v="Yes"/>
  </r>
  <r>
    <n v="4"/>
    <s v="Bachelors"/>
    <s v="Skilled Manual"/>
    <s v="Yes"/>
    <n v="2"/>
    <s v="2-5 Miles"/>
    <s v="North America"/>
    <x v="3"/>
    <x v="0"/>
    <s v="Yes"/>
  </r>
  <r>
    <n v="2"/>
    <s v="High School"/>
    <s v="Professional"/>
    <s v="No"/>
    <n v="2"/>
    <s v="1-2 Miles"/>
    <s v="North America"/>
    <x v="38"/>
    <x v="0"/>
    <s v="Yes"/>
  </r>
  <r>
    <n v="0"/>
    <s v="Graduate Degree"/>
    <s v="Professional"/>
    <s v="Yes"/>
    <n v="1"/>
    <s v="2-5 Miles"/>
    <s v="North America"/>
    <x v="13"/>
    <x v="0"/>
    <s v="Yes"/>
  </r>
  <r>
    <n v="1"/>
    <s v="Bachelors"/>
    <s v="Management"/>
    <s v="No"/>
    <n v="4"/>
    <s v="0-1 Miles"/>
    <s v="North America"/>
    <x v="20"/>
    <x v="0"/>
    <s v="No"/>
  </r>
  <r>
    <n v="1"/>
    <s v="Bachelors"/>
    <s v="Management"/>
    <s v="No"/>
    <n v="3"/>
    <s v="0-1 Miles"/>
    <s v="North America"/>
    <x v="12"/>
    <x v="0"/>
    <s v="Yes"/>
  </r>
  <r>
    <n v="0"/>
    <s v="Partial College"/>
    <s v="Skilled Manual"/>
    <s v="Yes"/>
    <n v="1"/>
    <s v="5-10 Miles"/>
    <s v="North America"/>
    <x v="22"/>
    <x v="2"/>
    <s v="No"/>
  </r>
  <r>
    <n v="0"/>
    <s v="High School"/>
    <s v="Skilled Manual"/>
    <s v="Yes"/>
    <n v="1"/>
    <s v="5-10 Miles"/>
    <s v="North America"/>
    <x v="23"/>
    <x v="0"/>
    <s v="No"/>
  </r>
  <r>
    <n v="2"/>
    <s v="Partial High School"/>
    <s v="Skilled Manual"/>
    <s v="No"/>
    <n v="2"/>
    <s v="1-2 Miles"/>
    <s v="North America"/>
    <x v="38"/>
    <x v="0"/>
    <s v="No"/>
  </r>
  <r>
    <n v="2"/>
    <s v="Partial College"/>
    <s v="Clerical"/>
    <s v="No"/>
    <n v="1"/>
    <s v="1-2 Miles"/>
    <s v="North America"/>
    <x v="15"/>
    <x v="0"/>
    <s v="Yes"/>
  </r>
  <r>
    <n v="2"/>
    <s v="Partial College"/>
    <s v="Professional"/>
    <s v="Yes"/>
    <n v="1"/>
    <s v="10+ Miles"/>
    <s v="North America"/>
    <x v="10"/>
    <x v="1"/>
    <s v="No"/>
  </r>
  <r>
    <n v="4"/>
    <s v="Partial College"/>
    <s v="Clerical"/>
    <s v="No"/>
    <n v="0"/>
    <s v="0-1 Miles"/>
    <s v="North America"/>
    <x v="25"/>
    <x v="2"/>
    <s v="No"/>
  </r>
  <r>
    <n v="1"/>
    <s v="Partial College"/>
    <s v="Clerical"/>
    <s v="Yes"/>
    <n v="1"/>
    <s v="1-2 Miles"/>
    <s v="North America"/>
    <x v="28"/>
    <x v="0"/>
    <s v="Yes"/>
  </r>
  <r>
    <n v="0"/>
    <s v="High School"/>
    <s v="Skilled Manual"/>
    <s v="Yes"/>
    <n v="2"/>
    <s v="5-10 Miles"/>
    <s v="North America"/>
    <x v="25"/>
    <x v="2"/>
    <s v="No"/>
  </r>
  <r>
    <n v="1"/>
    <s v="Bachelors"/>
    <s v="Management"/>
    <s v="Yes"/>
    <n v="3"/>
    <s v="5-10 Miles"/>
    <s v="North America"/>
    <x v="12"/>
    <x v="0"/>
    <s v="No"/>
  </r>
  <r>
    <n v="4"/>
    <s v="Partial College"/>
    <s v="Professional"/>
    <s v="Yes"/>
    <n v="1"/>
    <s v="10+ Miles"/>
    <s v="North America"/>
    <x v="16"/>
    <x v="1"/>
    <s v="No"/>
  </r>
  <r>
    <n v="4"/>
    <s v="Graduate Degree"/>
    <s v="Skilled Manual"/>
    <s v="Yes"/>
    <n v="0"/>
    <s v="1-2 Miles"/>
    <s v="North America"/>
    <x v="15"/>
    <x v="0"/>
    <s v="Yes"/>
  </r>
  <r>
    <n v="2"/>
    <s v="Bachelors"/>
    <s v="Management"/>
    <s v="Yes"/>
    <n v="0"/>
    <s v="10+ Miles"/>
    <s v="North America"/>
    <x v="16"/>
    <x v="1"/>
    <s v="No"/>
  </r>
  <r>
    <n v="1"/>
    <s v="Bachelors"/>
    <s v="Professional"/>
    <s v="No"/>
    <n v="1"/>
    <s v="0-1 Miles"/>
    <s v="North America"/>
    <x v="20"/>
    <x v="0"/>
    <s v="No"/>
  </r>
  <r>
    <n v="2"/>
    <s v="Graduate Degree"/>
    <s v="Management"/>
    <s v="Yes"/>
    <n v="3"/>
    <s v="2-5 Miles"/>
    <s v="North America"/>
    <x v="45"/>
    <x v="1"/>
    <s v="No"/>
  </r>
  <r>
    <n v="2"/>
    <s v="Partial College"/>
    <s v="Professional"/>
    <s v="Yes"/>
    <n v="1"/>
    <s v="2-5 Miles"/>
    <s v="North America"/>
    <x v="14"/>
    <x v="1"/>
    <s v="No"/>
  </r>
  <r>
    <n v="2"/>
    <s v="High School"/>
    <s v="Skilled Manual"/>
    <s v="Yes"/>
    <n v="2"/>
    <s v="1-2 Miles"/>
    <s v="North America"/>
    <x v="5"/>
    <x v="0"/>
    <s v="No"/>
  </r>
  <r>
    <n v="1"/>
    <s v="Graduate Degree"/>
    <s v="Professional"/>
    <s v="Yes"/>
    <n v="0"/>
    <s v="2-5 Miles"/>
    <s v="North America"/>
    <x v="4"/>
    <x v="0"/>
    <s v="No"/>
  </r>
  <r>
    <n v="0"/>
    <s v="Partial College"/>
    <s v="Professional"/>
    <s v="Yes"/>
    <n v="2"/>
    <s v="5-10 Miles"/>
    <s v="North America"/>
    <x v="21"/>
    <x v="0"/>
    <s v="No"/>
  </r>
  <r>
    <n v="0"/>
    <s v="Partial College"/>
    <s v="Skilled Manual"/>
    <s v="No"/>
    <n v="1"/>
    <s v="1-2 Miles"/>
    <s v="North America"/>
    <x v="40"/>
    <x v="2"/>
    <s v="No"/>
  </r>
  <r>
    <n v="4"/>
    <s v="High School"/>
    <s v="Professional"/>
    <s v="Yes"/>
    <n v="2"/>
    <s v="5-10 Miles"/>
    <s v="North America"/>
    <x v="14"/>
    <x v="1"/>
    <s v="Yes"/>
  </r>
  <r>
    <n v="3"/>
    <s v="High School"/>
    <s v="Professional"/>
    <s v="No"/>
    <n v="2"/>
    <s v="2-5 Miles"/>
    <s v="North America"/>
    <x v="39"/>
    <x v="0"/>
    <s v="No"/>
  </r>
  <r>
    <n v="1"/>
    <s v="Bachelors"/>
    <s v="Skilled Manual"/>
    <s v="No"/>
    <n v="1"/>
    <s v="0-1 Miles"/>
    <s v="North America"/>
    <x v="4"/>
    <x v="0"/>
    <s v="Yes"/>
  </r>
  <r>
    <n v="1"/>
    <s v="High School"/>
    <s v="Clerical"/>
    <s v="Yes"/>
    <n v="2"/>
    <s v="1-2 Miles"/>
    <s v="North America"/>
    <x v="36"/>
    <x v="0"/>
    <s v="Yes"/>
  </r>
  <r>
    <n v="5"/>
    <s v="Graduate Degree"/>
    <s v="Skilled Manual"/>
    <s v="No"/>
    <n v="0"/>
    <s v="0-1 Miles"/>
    <s v="North America"/>
    <x v="15"/>
    <x v="0"/>
    <s v="No"/>
  </r>
  <r>
    <n v="3"/>
    <s v="Graduate Degree"/>
    <s v="Professional"/>
    <s v="Yes"/>
    <n v="0"/>
    <s v="2-5 Miles"/>
    <s v="North America"/>
    <x v="1"/>
    <x v="0"/>
    <s v="Yes"/>
  </r>
  <r>
    <n v="3"/>
    <s v="Partial High School"/>
    <s v="Clerical"/>
    <s v="No"/>
    <n v="2"/>
    <s v="0-1 Miles"/>
    <s v="North America"/>
    <x v="5"/>
    <x v="0"/>
    <s v="No"/>
  </r>
  <r>
    <n v="5"/>
    <s v="Bachelors"/>
    <s v="Management"/>
    <s v="Yes"/>
    <n v="3"/>
    <s v="10+ Miles"/>
    <s v="North America"/>
    <x v="14"/>
    <x v="1"/>
    <s v="No"/>
  </r>
  <r>
    <n v="2"/>
    <s v="Bachelors"/>
    <s v="Skilled Manual"/>
    <s v="Yes"/>
    <n v="0"/>
    <s v="2-5 Miles"/>
    <s v="North America"/>
    <x v="34"/>
    <x v="0"/>
    <s v="Yes"/>
  </r>
  <r>
    <n v="1"/>
    <s v="Graduate Degree"/>
    <s v="Skilled Manual"/>
    <s v="Yes"/>
    <n v="0"/>
    <s v="0-1 Miles"/>
    <s v="North America"/>
    <x v="6"/>
    <x v="0"/>
    <s v="Yes"/>
  </r>
  <r>
    <n v="0"/>
    <s v="Partial College"/>
    <s v="Skilled Manual"/>
    <s v="No"/>
    <n v="1"/>
    <s v="1-2 Miles"/>
    <s v="North America"/>
    <x v="40"/>
    <x v="2"/>
    <s v="No"/>
  </r>
  <r>
    <n v="0"/>
    <s v="Partial College"/>
    <s v="Skilled Manual"/>
    <s v="Yes"/>
    <n v="2"/>
    <s v="5-10 Miles"/>
    <s v="North America"/>
    <x v="17"/>
    <x v="0"/>
    <s v="Yes"/>
  </r>
  <r>
    <n v="4"/>
    <s v="Bachelors"/>
    <s v="Skilled Manual"/>
    <s v="Yes"/>
    <n v="3"/>
    <s v="10+ Miles"/>
    <s v="North America"/>
    <x v="0"/>
    <x v="0"/>
    <s v="No"/>
  </r>
  <r>
    <n v="2"/>
    <s v="Partial College"/>
    <s v="Professional"/>
    <s v="Yes"/>
    <n v="2"/>
    <s v="2-5 Miles"/>
    <s v="North America"/>
    <x v="42"/>
    <x v="1"/>
    <s v="Yes"/>
  </r>
  <r>
    <n v="1"/>
    <s v="High School"/>
    <s v="Professional"/>
    <s v="No"/>
    <n v="4"/>
    <s v="2-5 Miles"/>
    <s v="North America"/>
    <x v="12"/>
    <x v="0"/>
    <s v="No"/>
  </r>
  <r>
    <n v="4"/>
    <s v="Bachelors"/>
    <s v="Management"/>
    <s v="Yes"/>
    <n v="4"/>
    <s v="0-1 Miles"/>
    <s v="North America"/>
    <x v="8"/>
    <x v="0"/>
    <s v="No"/>
  </r>
  <r>
    <n v="1"/>
    <s v="Graduate Degree"/>
    <s v="Skilled Manual"/>
    <s v="No"/>
    <n v="0"/>
    <s v="0-1 Miles"/>
    <s v="North America"/>
    <x v="10"/>
    <x v="1"/>
    <s v="No"/>
  </r>
  <r>
    <n v="1"/>
    <s v="Partial College"/>
    <s v="Skilled Manual"/>
    <s v="No"/>
    <n v="1"/>
    <s v="0-1 Miles"/>
    <s v="North America"/>
    <x v="15"/>
    <x v="0"/>
    <s v="Yes"/>
  </r>
  <r>
    <n v="4"/>
    <s v="Graduate Degree"/>
    <s v="Skilled Manual"/>
    <s v="Yes"/>
    <n v="0"/>
    <s v="1-2 Miles"/>
    <s v="North America"/>
    <x v="15"/>
    <x v="0"/>
    <s v="Yes"/>
  </r>
  <r>
    <n v="1"/>
    <s v="Graduate Degree"/>
    <s v="Skilled Manual"/>
    <s v="Yes"/>
    <n v="0"/>
    <s v="0-1 Miles"/>
    <s v="North America"/>
    <x v="17"/>
    <x v="0"/>
    <s v="No"/>
  </r>
  <r>
    <n v="3"/>
    <s v="Graduate Degree"/>
    <s v="Professional"/>
    <s v="Yes"/>
    <n v="0"/>
    <s v="0-1 Miles"/>
    <s v="North America"/>
    <x v="4"/>
    <x v="0"/>
    <s v="Yes"/>
  </r>
  <r>
    <n v="2"/>
    <s v="Partial High School"/>
    <s v="Skilled Manual"/>
    <s v="Yes"/>
    <n v="2"/>
    <s v="10+ Miles"/>
    <s v="North America"/>
    <x v="9"/>
    <x v="0"/>
    <s v="No"/>
  </r>
  <r>
    <n v="2"/>
    <s v="Bachelors"/>
    <s v="Management"/>
    <s v="No"/>
    <n v="1"/>
    <s v="2-5 Miles"/>
    <s v="North America"/>
    <x v="14"/>
    <x v="1"/>
    <s v="Yes"/>
  </r>
  <r>
    <n v="0"/>
    <s v="High School"/>
    <s v="Skilled Manual"/>
    <s v="Yes"/>
    <n v="2"/>
    <s v="5-10 Miles"/>
    <s v="North America"/>
    <x v="40"/>
    <x v="2"/>
    <s v="No"/>
  </r>
  <r>
    <n v="5"/>
    <s v="Partial College"/>
    <s v="Professional"/>
    <s v="Yes"/>
    <n v="3"/>
    <s v="0-1 Miles"/>
    <s v="North America"/>
    <x v="3"/>
    <x v="0"/>
    <s v="No"/>
  </r>
  <r>
    <n v="3"/>
    <s v="Partial College"/>
    <s v="Professional"/>
    <s v="No"/>
    <n v="2"/>
    <s v="2-5 Miles"/>
    <s v="North America"/>
    <x v="5"/>
    <x v="0"/>
    <s v="Yes"/>
  </r>
  <r>
    <n v="2"/>
    <s v="Partial College"/>
    <s v="Professional"/>
    <s v="Yes"/>
    <n v="1"/>
    <s v="10+ Miles"/>
    <s v="North America"/>
    <x v="10"/>
    <x v="1"/>
    <s v="No"/>
  </r>
  <r>
    <n v="4"/>
    <s v="Bachelors"/>
    <s v="Management"/>
    <s v="Yes"/>
    <n v="0"/>
    <s v="0-1 Miles"/>
    <s v="North America"/>
    <x v="1"/>
    <x v="0"/>
    <s v="No"/>
  </r>
  <r>
    <n v="4"/>
    <s v="Bachelors"/>
    <s v="Professional"/>
    <s v="Yes"/>
    <n v="2"/>
    <s v="2-5 Miles"/>
    <s v="North America"/>
    <x v="1"/>
    <x v="0"/>
    <s v="Yes"/>
  </r>
  <r>
    <n v="4"/>
    <s v="Bachelors"/>
    <s v="Skilled Manual"/>
    <s v="Yes"/>
    <n v="3"/>
    <s v="5-10 Miles"/>
    <s v="North America"/>
    <x v="0"/>
    <x v="0"/>
    <s v="No"/>
  </r>
  <r>
    <n v="2"/>
    <s v="High School"/>
    <s v="Manual"/>
    <s v="Yes"/>
    <n v="2"/>
    <s v="1-2 Miles"/>
    <s v="North America"/>
    <x v="39"/>
    <x v="0"/>
    <s v="Yes"/>
  </r>
  <r>
    <n v="0"/>
    <s v="High School"/>
    <s v="Skilled Manual"/>
    <s v="No"/>
    <n v="2"/>
    <s v="0-1 Miles"/>
    <s v="North America"/>
    <x v="26"/>
    <x v="2"/>
    <s v="Yes"/>
  </r>
  <r>
    <n v="1"/>
    <s v="Bachelors"/>
    <s v="Skilled Manual"/>
    <s v="Yes"/>
    <n v="1"/>
    <s v="0-1 Miles"/>
    <s v="North America"/>
    <x v="11"/>
    <x v="0"/>
    <s v="No"/>
  </r>
  <r>
    <n v="2"/>
    <s v="Bachelors"/>
    <s v="Management"/>
    <s v="No"/>
    <n v="1"/>
    <s v="2-5 Miles"/>
    <s v="North America"/>
    <x v="14"/>
    <x v="1"/>
    <s v="Yes"/>
  </r>
  <r>
    <n v="2"/>
    <s v="Partial High School"/>
    <s v="Clerical"/>
    <s v="Yes"/>
    <n v="2"/>
    <s v="1-2 Miles"/>
    <s v="North America"/>
    <x v="38"/>
    <x v="0"/>
    <s v="No"/>
  </r>
  <r>
    <n v="2"/>
    <s v="High School"/>
    <s v="Professional"/>
    <s v="No"/>
    <n v="2"/>
    <s v="1-2 Miles"/>
    <s v="North America"/>
    <x v="28"/>
    <x v="0"/>
    <s v="Yes"/>
  </r>
  <r>
    <n v="2"/>
    <s v="Partial High School"/>
    <s v="Skilled Manual"/>
    <s v="No"/>
    <n v="2"/>
    <s v="1-2 Miles"/>
    <s v="North America"/>
    <x v="5"/>
    <x v="0"/>
    <s v="No"/>
  </r>
  <r>
    <n v="0"/>
    <s v="High School"/>
    <s v="Skilled Manual"/>
    <s v="Yes"/>
    <n v="2"/>
    <s v="5-10 Miles"/>
    <s v="North America"/>
    <x v="26"/>
    <x v="2"/>
    <s v="Yes"/>
  </r>
  <r>
    <n v="1"/>
    <s v="High School"/>
    <s v="Clerical"/>
    <s v="No"/>
    <n v="1"/>
    <s v="5-10 Miles"/>
    <s v="North America"/>
    <x v="31"/>
    <x v="0"/>
    <s v="No"/>
  </r>
  <r>
    <n v="1"/>
    <s v="High School"/>
    <s v="Clerical"/>
    <s v="Yes"/>
    <n v="1"/>
    <s v="2-5 Miles"/>
    <s v="North America"/>
    <x v="31"/>
    <x v="0"/>
    <s v="Yes"/>
  </r>
  <r>
    <n v="2"/>
    <s v="Graduate Degree"/>
    <s v="Management"/>
    <s v="Yes"/>
    <n v="2"/>
    <s v="5-10 Miles"/>
    <s v="North America"/>
    <x v="45"/>
    <x v="1"/>
    <s v="No"/>
  </r>
  <r>
    <n v="2"/>
    <s v="High School"/>
    <s v="Professional"/>
    <s v="Yes"/>
    <n v="2"/>
    <s v="5-10 Miles"/>
    <s v="North America"/>
    <x v="36"/>
    <x v="0"/>
    <s v="No"/>
  </r>
  <r>
    <n v="5"/>
    <s v="Partial College"/>
    <s v="Professional"/>
    <s v="Yes"/>
    <n v="2"/>
    <s v="1-2 Miles"/>
    <s v="North America"/>
    <x v="42"/>
    <x v="1"/>
    <s v="Yes"/>
  </r>
  <r>
    <n v="0"/>
    <s v="Partial College"/>
    <s v="Skilled Manual"/>
    <s v="Yes"/>
    <n v="1"/>
    <s v="5-10 Miles"/>
    <s v="North America"/>
    <x v="40"/>
    <x v="2"/>
    <s v="Yes"/>
  </r>
  <r>
    <n v="0"/>
    <s v="High School"/>
    <s v="Skilled Manual"/>
    <s v="No"/>
    <n v="2"/>
    <s v="0-1 Miles"/>
    <s v="North America"/>
    <x v="37"/>
    <x v="2"/>
    <s v="Yes"/>
  </r>
  <r>
    <n v="1"/>
    <s v="Graduate Degree"/>
    <s v="Skilled Manual"/>
    <s v="Yes"/>
    <n v="0"/>
    <s v="1-2 Miles"/>
    <s v="North America"/>
    <x v="6"/>
    <x v="0"/>
    <s v="Yes"/>
  </r>
  <r>
    <n v="4"/>
    <s v="Bachelors"/>
    <s v="Professional"/>
    <s v="Yes"/>
    <n v="2"/>
    <s v="2-5 Miles"/>
    <s v="North America"/>
    <x v="1"/>
    <x v="0"/>
    <s v="Yes"/>
  </r>
  <r>
    <n v="4"/>
    <s v="Graduate Degree"/>
    <s v="Management"/>
    <s v="Yes"/>
    <n v="2"/>
    <s v="5-10 Miles"/>
    <s v="North America"/>
    <x v="49"/>
    <x v="1"/>
    <s v="No"/>
  </r>
  <r>
    <n v="0"/>
    <s v="Partial College"/>
    <s v="Skilled Manual"/>
    <s v="Yes"/>
    <n v="1"/>
    <s v="5-10 Miles"/>
    <s v="North America"/>
    <x v="40"/>
    <x v="2"/>
    <s v="No"/>
  </r>
  <r>
    <n v="0"/>
    <s v="High School"/>
    <s v="Skilled Manual"/>
    <s v="Yes"/>
    <n v="2"/>
    <s v="5-10 Miles"/>
    <s v="North America"/>
    <x v="26"/>
    <x v="2"/>
    <s v="Yes"/>
  </r>
  <r>
    <n v="0"/>
    <s v="High School"/>
    <s v="Skilled Manual"/>
    <s v="No"/>
    <n v="2"/>
    <s v="0-1 Miles"/>
    <s v="North America"/>
    <x v="40"/>
    <x v="2"/>
    <s v="Yes"/>
  </r>
  <r>
    <n v="0"/>
    <s v="High School"/>
    <s v="Skilled Manual"/>
    <s v="Yes"/>
    <n v="2"/>
    <s v="5-10 Miles"/>
    <s v="North America"/>
    <x v="23"/>
    <x v="0"/>
    <s v="No"/>
  </r>
  <r>
    <n v="2"/>
    <s v="High School"/>
    <s v="Manual"/>
    <s v="Yes"/>
    <n v="2"/>
    <s v="1-2 Miles"/>
    <s v="North America"/>
    <x v="39"/>
    <x v="0"/>
    <s v="No"/>
  </r>
  <r>
    <n v="0"/>
    <s v="Partial College"/>
    <s v="Professional"/>
    <s v="No"/>
    <n v="2"/>
    <s v="1-2 Miles"/>
    <s v="North America"/>
    <x v="21"/>
    <x v="0"/>
    <s v="Yes"/>
  </r>
  <r>
    <n v="2"/>
    <s v="High School"/>
    <s v="Skilled Manual"/>
    <s v="Yes"/>
    <n v="2"/>
    <s v="1-2 Miles"/>
    <s v="North America"/>
    <x v="5"/>
    <x v="0"/>
    <s v="Yes"/>
  </r>
  <r>
    <n v="4"/>
    <s v="High School"/>
    <s v="Professional"/>
    <s v="Yes"/>
    <n v="2"/>
    <s v="5-10 Miles"/>
    <s v="North America"/>
    <x v="45"/>
    <x v="1"/>
    <s v="No"/>
  </r>
  <r>
    <n v="3"/>
    <s v="Graduate Degree"/>
    <s v="Management"/>
    <s v="Yes"/>
    <n v="2"/>
    <s v="5-10 Miles"/>
    <s v="North America"/>
    <x v="31"/>
    <x v="0"/>
    <s v="Yes"/>
  </r>
  <r>
    <n v="0"/>
    <s v="Partial College"/>
    <s v="Skilled Manual"/>
    <s v="No"/>
    <n v="2"/>
    <s v="1-2 Miles"/>
    <s v="North America"/>
    <x v="23"/>
    <x v="0"/>
    <s v="No"/>
  </r>
  <r>
    <n v="4"/>
    <s v="Bachelors"/>
    <s v="Management"/>
    <s v="Yes"/>
    <n v="2"/>
    <s v="10+ Miles"/>
    <s v="North America"/>
    <x v="33"/>
    <x v="1"/>
    <s v="No"/>
  </r>
  <r>
    <n v="2"/>
    <s v="High School"/>
    <s v="Professional"/>
    <s v="Yes"/>
    <n v="2"/>
    <s v="10+ Miles"/>
    <s v="North America"/>
    <x v="39"/>
    <x v="0"/>
    <s v="No"/>
  </r>
  <r>
    <n v="4"/>
    <s v="Bachelors"/>
    <s v="Management"/>
    <s v="Yes"/>
    <n v="2"/>
    <s v="1-2 Miles"/>
    <s v="North America"/>
    <x v="24"/>
    <x v="1"/>
    <s v="Yes"/>
  </r>
  <r>
    <n v="0"/>
    <s v="Partial College"/>
    <s v="Skilled Manual"/>
    <s v="No"/>
    <n v="2"/>
    <s v="1-2 Miles"/>
    <s v="North America"/>
    <x v="25"/>
    <x v="2"/>
    <s v="No"/>
  </r>
  <r>
    <n v="3"/>
    <s v="Graduate Degree"/>
    <s v="Professional"/>
    <s v="Yes"/>
    <n v="0"/>
    <s v="2-5 Miles"/>
    <s v="North America"/>
    <x v="1"/>
    <x v="0"/>
    <s v="Yes"/>
  </r>
  <r>
    <n v="3"/>
    <s v="Graduate Degree"/>
    <s v="Professional"/>
    <s v="Yes"/>
    <n v="0"/>
    <s v="2-5 Miles"/>
    <s v="North America"/>
    <x v="0"/>
    <x v="0"/>
    <s v="Yes"/>
  </r>
  <r>
    <n v="0"/>
    <s v="Partial College"/>
    <s v="Skilled Manual"/>
    <s v="Yes"/>
    <n v="1"/>
    <s v="5-10 Miles"/>
    <s v="North America"/>
    <x v="25"/>
    <x v="2"/>
    <s v="No"/>
  </r>
  <r>
    <n v="0"/>
    <s v="High School"/>
    <s v="Skilled Manual"/>
    <s v="Yes"/>
    <n v="2"/>
    <s v="5-10 Miles"/>
    <s v="North America"/>
    <x v="25"/>
    <x v="2"/>
    <s v="No"/>
  </r>
  <r>
    <n v="1"/>
    <s v="Bachelors"/>
    <s v="Management"/>
    <s v="Yes"/>
    <n v="1"/>
    <s v="5-10 Miles"/>
    <s v="North America"/>
    <x v="1"/>
    <x v="0"/>
    <s v="No"/>
  </r>
  <r>
    <n v="0"/>
    <s v="Partial College"/>
    <s v="Skilled Manual"/>
    <s v="Yes"/>
    <n v="2"/>
    <s v="5-10 Miles"/>
    <s v="North America"/>
    <x v="6"/>
    <x v="0"/>
    <s v="Yes"/>
  </r>
  <r>
    <n v="0"/>
    <s v="High School"/>
    <s v="Skilled Manual"/>
    <s v="Yes"/>
    <n v="2"/>
    <s v="5-10 Miles"/>
    <s v="North America"/>
    <x v="21"/>
    <x v="0"/>
    <s v="No"/>
  </r>
  <r>
    <n v="4"/>
    <s v="High School"/>
    <s v="Professional"/>
    <s v="Yes"/>
    <n v="0"/>
    <s v="5-10 Miles"/>
    <s v="North America"/>
    <x v="5"/>
    <x v="0"/>
    <s v="Yes"/>
  </r>
  <r>
    <n v="2"/>
    <s v="Bachelors"/>
    <s v="Management"/>
    <s v="No"/>
    <n v="3"/>
    <s v="0-1 Miles"/>
    <s v="North America"/>
    <x v="34"/>
    <x v="0"/>
    <s v="Yes"/>
  </r>
  <r>
    <n v="3"/>
    <s v="High School"/>
    <s v="Professional"/>
    <s v="No"/>
    <n v="1"/>
    <s v="1-2 Miles"/>
    <s v="North America"/>
    <x v="31"/>
    <x v="0"/>
    <s v="Yes"/>
  </r>
  <r>
    <n v="4"/>
    <s v="Graduate Degree"/>
    <s v="Professional"/>
    <s v="Yes"/>
    <n v="0"/>
    <s v="2-5 Miles"/>
    <s v="North America"/>
    <x v="4"/>
    <x v="0"/>
    <s v="Yes"/>
  </r>
  <r>
    <n v="3"/>
    <s v="Bachelors"/>
    <s v="Skilled Manual"/>
    <s v="Yes"/>
    <n v="2"/>
    <s v="2-5 Miles"/>
    <s v="North America"/>
    <x v="3"/>
    <x v="0"/>
    <s v="Yes"/>
  </r>
  <r>
    <n v="0"/>
    <s v="Partial High School"/>
    <s v="Clerical"/>
    <s v="Yes"/>
    <n v="2"/>
    <s v="5-10 Miles"/>
    <s v="North America"/>
    <x v="22"/>
    <x v="2"/>
    <s v="No"/>
  </r>
  <r>
    <n v="1"/>
    <s v="Graduate Degree"/>
    <s v="Management"/>
    <s v="No"/>
    <n v="4"/>
    <s v="0-1 Miles"/>
    <s v="North America"/>
    <x v="29"/>
    <x v="1"/>
    <s v="No"/>
  </r>
  <r>
    <n v="2"/>
    <s v="High School"/>
    <s v="Professional"/>
    <s v="No"/>
    <n v="2"/>
    <s v="5-10 Miles"/>
    <s v="North America"/>
    <x v="36"/>
    <x v="0"/>
    <s v="No"/>
  </r>
  <r>
    <n v="4"/>
    <s v="Bachelors"/>
    <s v="Professional"/>
    <s v="Yes"/>
    <n v="2"/>
    <s v="0-1 Miles"/>
    <s v="North America"/>
    <x v="1"/>
    <x v="0"/>
    <s v="Yes"/>
  </r>
  <r>
    <n v="0"/>
    <s v="Graduate Degree"/>
    <s v="Professional"/>
    <s v="Yes"/>
    <n v="0"/>
    <s v="0-1 Miles"/>
    <s v="North America"/>
    <x v="32"/>
    <x v="0"/>
    <s v="No"/>
  </r>
  <r>
    <n v="0"/>
    <s v="Bachelors"/>
    <s v="Professional"/>
    <s v="No"/>
    <n v="1"/>
    <s v="0-1 Miles"/>
    <s v="North America"/>
    <x v="34"/>
    <x v="0"/>
    <s v="Yes"/>
  </r>
  <r>
    <n v="2"/>
    <s v="Partial High School"/>
    <s v="Skilled Manual"/>
    <s v="No"/>
    <n v="2"/>
    <s v="2-5 Miles"/>
    <s v="North America"/>
    <x v="9"/>
    <x v="0"/>
    <s v="Yes"/>
  </r>
  <r>
    <n v="3"/>
    <s v="Bachelors"/>
    <s v="Skilled Manual"/>
    <s v="Yes"/>
    <n v="0"/>
    <s v="2-5 Miles"/>
    <s v="North America"/>
    <x v="8"/>
    <x v="0"/>
    <s v="Yes"/>
  </r>
  <r>
    <n v="0"/>
    <s v="Partial College"/>
    <s v="Skilled Manual"/>
    <s v="Yes"/>
    <n v="2"/>
    <s v="5-10 Miles"/>
    <s v="North America"/>
    <x v="26"/>
    <x v="2"/>
    <s v="No"/>
  </r>
  <r>
    <n v="1"/>
    <s v="Graduate Degree"/>
    <s v="Skilled Manual"/>
    <s v="Yes"/>
    <n v="0"/>
    <s v="0-1 Miles"/>
    <s v="North America"/>
    <x v="6"/>
    <x v="0"/>
    <s v="No"/>
  </r>
  <r>
    <n v="3"/>
    <s v="Bachelors"/>
    <s v="Skilled Manual"/>
    <s v="Yes"/>
    <n v="2"/>
    <s v="2-5 Miles"/>
    <s v="North America"/>
    <x v="3"/>
    <x v="0"/>
    <s v="Yes"/>
  </r>
  <r>
    <n v="3"/>
    <s v="Graduate Degree"/>
    <s v="Professional"/>
    <s v="Yes"/>
    <n v="0"/>
    <s v="0-1 Miles"/>
    <s v="North America"/>
    <x v="34"/>
    <x v="0"/>
    <s v="Yes"/>
  </r>
  <r>
    <n v="4"/>
    <s v="Partial College"/>
    <s v="Professional"/>
    <s v="Yes"/>
    <n v="2"/>
    <s v="10+ Miles"/>
    <s v="North America"/>
    <x v="39"/>
    <x v="0"/>
    <s v="No"/>
  </r>
  <r>
    <n v="2"/>
    <s v="Graduate Degree"/>
    <s v="Management"/>
    <s v="Yes"/>
    <n v="3"/>
    <s v="5-10 Miles"/>
    <s v="North America"/>
    <x v="46"/>
    <x v="1"/>
    <s v="No"/>
  </r>
  <r>
    <n v="1"/>
    <s v="Partial College"/>
    <s v="Skilled Manual"/>
    <s v="Yes"/>
    <n v="1"/>
    <s v="2-5 Miles"/>
    <s v="North America"/>
    <x v="12"/>
    <x v="0"/>
    <s v="Yes"/>
  </r>
  <r>
    <n v="2"/>
    <s v="Partial High School"/>
    <s v="Skilled Manual"/>
    <s v="No"/>
    <n v="2"/>
    <s v="1-2 Miles"/>
    <s v="North America"/>
    <x v="31"/>
    <x v="0"/>
    <s v="No"/>
  </r>
  <r>
    <n v="5"/>
    <s v="High School"/>
    <s v="Professional"/>
    <s v="Yes"/>
    <n v="2"/>
    <s v="10+ Miles"/>
    <s v="North America"/>
    <x v="2"/>
    <x v="1"/>
    <s v="No"/>
  </r>
  <r>
    <n v="3"/>
    <s v="Partial High School"/>
    <s v="Clerical"/>
    <s v="Yes"/>
    <n v="2"/>
    <s v="1-2 Miles"/>
    <s v="North America"/>
    <x v="5"/>
    <x v="0"/>
    <s v="No"/>
  </r>
  <r>
    <n v="4"/>
    <s v="Partial College"/>
    <s v="Professional"/>
    <s v="No"/>
    <n v="1"/>
    <s v="1-2 Miles"/>
    <s v="North America"/>
    <x v="16"/>
    <x v="1"/>
    <s v="No"/>
  </r>
  <r>
    <n v="0"/>
    <s v="Partial High School"/>
    <s v="Clerical"/>
    <s v="Yes"/>
    <n v="2"/>
    <s v="5-10 Miles"/>
    <s v="North America"/>
    <x v="19"/>
    <x v="2"/>
    <s v="No"/>
  </r>
  <r>
    <n v="0"/>
    <s v="Graduate Degree"/>
    <s v="Management"/>
    <s v="No"/>
    <n v="2"/>
    <s v="0-1 Miles"/>
    <s v="North America"/>
    <x v="13"/>
    <x v="0"/>
    <s v="Yes"/>
  </r>
  <r>
    <n v="5"/>
    <s v="High School"/>
    <s v="Professional"/>
    <s v="No"/>
    <n v="2"/>
    <s v="2-5 Miles"/>
    <s v="North America"/>
    <x v="2"/>
    <x v="1"/>
    <s v="No"/>
  </r>
  <r>
    <n v="2"/>
    <s v="Bachelors"/>
    <s v="Management"/>
    <s v="No"/>
    <n v="4"/>
    <s v="0-1 Miles"/>
    <s v="North America"/>
    <x v="41"/>
    <x v="1"/>
    <s v="No"/>
  </r>
  <r>
    <n v="0"/>
    <s v="Partial College"/>
    <s v="Skilled Manual"/>
    <s v="Yes"/>
    <n v="1"/>
    <s v="5-10 Miles"/>
    <s v="North America"/>
    <x v="21"/>
    <x v="0"/>
    <s v="Yes"/>
  </r>
  <r>
    <n v="2"/>
    <s v="Bachelors"/>
    <s v="Skilled Manual"/>
    <s v="No"/>
    <n v="1"/>
    <s v="0-1 Miles"/>
    <s v="North America"/>
    <x v="32"/>
    <x v="0"/>
    <s v="Yes"/>
  </r>
  <r>
    <n v="1"/>
    <s v="Graduate Degree"/>
    <s v="Professional"/>
    <s v="Yes"/>
    <n v="0"/>
    <s v="2-5 Miles"/>
    <s v="North America"/>
    <x v="11"/>
    <x v="0"/>
    <s v="Yes"/>
  </r>
  <r>
    <n v="0"/>
    <s v="Partial College"/>
    <s v="Professional"/>
    <s v="Yes"/>
    <n v="2"/>
    <s v="5-10 Miles"/>
    <s v="North America"/>
    <x v="21"/>
    <x v="0"/>
    <s v="No"/>
  </r>
  <r>
    <n v="0"/>
    <s v="Partial College"/>
    <s v="Skilled Manual"/>
    <s v="No"/>
    <n v="1"/>
    <s v="1-2 Miles"/>
    <s v="North America"/>
    <x v="23"/>
    <x v="0"/>
    <s v="No"/>
  </r>
  <r>
    <n v="0"/>
    <s v="Partial College"/>
    <s v="Skilled Manual"/>
    <s v="Yes"/>
    <n v="1"/>
    <s v="5-10 Miles"/>
    <s v="North America"/>
    <x v="40"/>
    <x v="2"/>
    <s v="No"/>
  </r>
  <r>
    <n v="1"/>
    <s v="Bachelors"/>
    <s v="Professional"/>
    <s v="Yes"/>
    <n v="1"/>
    <s v="0-1 Miles"/>
    <s v="North America"/>
    <x v="15"/>
    <x v="0"/>
    <s v="Yes"/>
  </r>
  <r>
    <n v="0"/>
    <s v="Bachelors"/>
    <s v="Professional"/>
    <s v="No"/>
    <n v="1"/>
    <s v="0-1 Miles"/>
    <s v="North America"/>
    <x v="0"/>
    <x v="0"/>
    <s v="No"/>
  </r>
  <r>
    <n v="2"/>
    <s v="High School"/>
    <s v="Skilled Manual"/>
    <s v="Yes"/>
    <n v="2"/>
    <s v="1-2 Miles"/>
    <s v="North America"/>
    <x v="38"/>
    <x v="0"/>
    <s v="No"/>
  </r>
  <r>
    <n v="0"/>
    <s v="Partial College"/>
    <s v="Skilled Manual"/>
    <s v="Yes"/>
    <n v="1"/>
    <s v="5-10 Miles"/>
    <s v="North America"/>
    <x v="21"/>
    <x v="0"/>
    <s v="No"/>
  </r>
  <r>
    <n v="2"/>
    <s v="High School"/>
    <s v="Manual"/>
    <s v="No"/>
    <n v="2"/>
    <s v="1-2 Miles"/>
    <s v="North America"/>
    <x v="39"/>
    <x v="0"/>
    <s v="Yes"/>
  </r>
  <r>
    <n v="0"/>
    <s v="Graduate Degree"/>
    <s v="Skilled Manual"/>
    <s v="Yes"/>
    <n v="0"/>
    <s v="1-2 Miles"/>
    <s v="North America"/>
    <x v="21"/>
    <x v="0"/>
    <s v="Yes"/>
  </r>
  <r>
    <n v="0"/>
    <s v="Bachelors"/>
    <s v="Management"/>
    <s v="No"/>
    <n v="1"/>
    <s v="0-1 Miles"/>
    <s v="North America"/>
    <x v="13"/>
    <x v="0"/>
    <s v="Yes"/>
  </r>
  <r>
    <n v="0"/>
    <s v="High School"/>
    <s v="Skilled Manual"/>
    <s v="Yes"/>
    <n v="2"/>
    <s v="5-10 Miles"/>
    <s v="North America"/>
    <x v="23"/>
    <x v="0"/>
    <s v="No"/>
  </r>
  <r>
    <n v="0"/>
    <s v="Bachelors"/>
    <s v="Management"/>
    <s v="No"/>
    <n v="1"/>
    <s v="0-1 Miles"/>
    <s v="North America"/>
    <x v="13"/>
    <x v="0"/>
    <s v="Yes"/>
  </r>
  <r>
    <n v="2"/>
    <s v="High School"/>
    <s v="Professional"/>
    <s v="Yes"/>
    <n v="2"/>
    <s v="10+ Miles"/>
    <s v="North America"/>
    <x v="10"/>
    <x v="1"/>
    <s v="No"/>
  </r>
  <r>
    <n v="3"/>
    <s v="Partial College"/>
    <s v="Professional"/>
    <s v="Yes"/>
    <n v="1"/>
    <s v="5-10 Miles"/>
    <s v="North America"/>
    <x v="38"/>
    <x v="0"/>
    <s v="No"/>
  </r>
  <r>
    <n v="5"/>
    <s v="Partial High School"/>
    <s v="Skilled Manual"/>
    <s v="Yes"/>
    <n v="3"/>
    <s v="10+ Miles"/>
    <s v="North America"/>
    <x v="2"/>
    <x v="1"/>
    <s v="Yes"/>
  </r>
  <r>
    <n v="3"/>
    <s v="Bachelors"/>
    <s v="Management"/>
    <s v="No"/>
    <n v="4"/>
    <s v="1-2 Miles"/>
    <s v="North America"/>
    <x v="0"/>
    <x v="0"/>
    <s v="No"/>
  </r>
  <r>
    <n v="1"/>
    <s v="Partial College"/>
    <s v="Skilled Manual"/>
    <s v="Yes"/>
    <n v="1"/>
    <s v="0-1 Miles"/>
    <s v="North America"/>
    <x v="30"/>
    <x v="0"/>
    <s v="No"/>
  </r>
  <r>
    <n v="2"/>
    <s v="High School"/>
    <s v="Professional"/>
    <s v="Yes"/>
    <n v="2"/>
    <s v="10+ Miles"/>
    <s v="North America"/>
    <x v="10"/>
    <x v="1"/>
    <s v="No"/>
  </r>
  <r>
    <n v="3"/>
    <s v="Graduate Degree"/>
    <s v="Management"/>
    <s v="Yes"/>
    <n v="2"/>
    <s v="5-10 Miles"/>
    <s v="North America"/>
    <x v="39"/>
    <x v="0"/>
    <s v="Yes"/>
  </r>
  <r>
    <n v="3"/>
    <s v="Bachelors"/>
    <s v="Skilled Manual"/>
    <s v="Yes"/>
    <n v="2"/>
    <s v="2-5 Miles"/>
    <s v="North America"/>
    <x v="8"/>
    <x v="0"/>
    <s v="No"/>
  </r>
  <r>
    <n v="1"/>
    <s v="Bachelors"/>
    <s v="Skilled Manual"/>
    <s v="Yes"/>
    <n v="1"/>
    <s v="5-10 Miles"/>
    <s v="North America"/>
    <x v="39"/>
    <x v="0"/>
    <s v="Yes"/>
  </r>
  <r>
    <n v="2"/>
    <s v="Bachelors"/>
    <s v="Skilled Manual"/>
    <s v="Yes"/>
    <n v="0"/>
    <s v="2-5 Miles"/>
    <s v="North America"/>
    <x v="13"/>
    <x v="0"/>
    <s v="Yes"/>
  </r>
  <r>
    <n v="0"/>
    <s v="Partial High School"/>
    <s v="Clerical"/>
    <s v="No"/>
    <n v="2"/>
    <s v="0-1 Miles"/>
    <s v="North America"/>
    <x v="22"/>
    <x v="2"/>
    <s v="No"/>
  </r>
  <r>
    <n v="5"/>
    <s v="Bachelors"/>
    <s v="Management"/>
    <s v="Yes"/>
    <n v="2"/>
    <s v="2-5 Miles"/>
    <s v="North America"/>
    <x v="33"/>
    <x v="1"/>
    <s v="No"/>
  </r>
  <r>
    <n v="2"/>
    <s v="Graduate Degree"/>
    <s v="Management"/>
    <s v="Yes"/>
    <n v="2"/>
    <s v="5-10 Miles"/>
    <s v="North America"/>
    <x v="51"/>
    <x v="1"/>
    <s v="No"/>
  </r>
  <r>
    <n v="4"/>
    <s v="High School"/>
    <s v="Professional"/>
    <s v="Yes"/>
    <n v="2"/>
    <s v="1-2 Miles"/>
    <s v="North America"/>
    <x v="12"/>
    <x v="0"/>
    <s v="No"/>
  </r>
  <r>
    <n v="2"/>
    <s v="Graduate Degree"/>
    <s v="Professional"/>
    <s v="Yes"/>
    <n v="0"/>
    <s v="0-1 Miles"/>
    <s v="North America"/>
    <x v="34"/>
    <x v="0"/>
    <s v="Yes"/>
  </r>
  <r>
    <n v="4"/>
    <s v="Graduate Degree"/>
    <s v="Management"/>
    <s v="Yes"/>
    <n v="2"/>
    <s v="0-1 Miles"/>
    <s v="North America"/>
    <x v="52"/>
    <x v="1"/>
    <s v="Yes"/>
  </r>
  <r>
    <n v="0"/>
    <s v="Graduate Degree"/>
    <s v="Skilled Manual"/>
    <s v="Yes"/>
    <n v="0"/>
    <s v="0-1 Miles"/>
    <s v="North America"/>
    <x v="21"/>
    <x v="0"/>
    <s v="No"/>
  </r>
  <r>
    <n v="1"/>
    <s v="Bachelors"/>
    <s v="Professional"/>
    <s v="Yes"/>
    <n v="1"/>
    <s v="2-5 Miles"/>
    <s v="North America"/>
    <x v="28"/>
    <x v="0"/>
    <s v="Yes"/>
  </r>
  <r>
    <n v="4"/>
    <s v="Graduate Degree"/>
    <s v="Management"/>
    <s v="Yes"/>
    <n v="2"/>
    <s v="5-10 Miles"/>
    <s v="North America"/>
    <x v="35"/>
    <x v="1"/>
    <s v="No"/>
  </r>
  <r>
    <n v="2"/>
    <s v="Partial High School"/>
    <s v="Clerical"/>
    <s v="Yes"/>
    <n v="2"/>
    <s v="0-1 Miles"/>
    <s v="North America"/>
    <x v="38"/>
    <x v="0"/>
    <s v="No"/>
  </r>
  <r>
    <n v="3"/>
    <s v="Graduate Degree"/>
    <s v="Professional"/>
    <s v="Yes"/>
    <n v="0"/>
    <s v="2-5 Miles"/>
    <s v="North America"/>
    <x v="17"/>
    <x v="0"/>
    <s v="No"/>
  </r>
  <r>
    <n v="0"/>
    <s v="Graduate Degree"/>
    <s v="Skilled Manual"/>
    <s v="Yes"/>
    <n v="0"/>
    <s v="0-1 Miles"/>
    <s v="North America"/>
    <x v="21"/>
    <x v="0"/>
    <s v="No"/>
  </r>
  <r>
    <n v="4"/>
    <s v="Bachelors"/>
    <s v="Skilled Manual"/>
    <s v="No"/>
    <n v="2"/>
    <s v="0-1 Miles"/>
    <s v="North America"/>
    <x v="0"/>
    <x v="0"/>
    <s v="No"/>
  </r>
  <r>
    <n v="1"/>
    <s v="Graduate Degree"/>
    <s v="Skilled Manual"/>
    <s v="Yes"/>
    <n v="0"/>
    <s v="0-1 Miles"/>
    <s v="North America"/>
    <x v="11"/>
    <x v="0"/>
    <s v="Yes"/>
  </r>
  <r>
    <n v="2"/>
    <s v="Partial College"/>
    <s v="Clerical"/>
    <s v="Yes"/>
    <n v="1"/>
    <s v="0-1 Miles"/>
    <s v="North America"/>
    <x v="28"/>
    <x v="0"/>
    <s v="No"/>
  </r>
  <r>
    <n v="1"/>
    <s v="Graduate Degree"/>
    <s v="Management"/>
    <s v="Yes"/>
    <n v="3"/>
    <s v="2-5 Miles"/>
    <s v="North America"/>
    <x v="49"/>
    <x v="1"/>
    <s v="Yes"/>
  </r>
  <r>
    <n v="4"/>
    <s v="Bachelors"/>
    <s v="Skilled Manual"/>
    <s v="Yes"/>
    <n v="2"/>
    <s v="2-5 Miles"/>
    <s v="North America"/>
    <x v="1"/>
    <x v="0"/>
    <s v="Yes"/>
  </r>
  <r>
    <n v="1"/>
    <s v="Graduate Degree"/>
    <s v="Professional"/>
    <s v="Yes"/>
    <n v="0"/>
    <s v="0-1 Miles"/>
    <s v="North America"/>
    <x v="11"/>
    <x v="0"/>
    <s v="No"/>
  </r>
  <r>
    <n v="3"/>
    <s v="Graduate Degree"/>
    <s v="Professional"/>
    <s v="Yes"/>
    <n v="0"/>
    <s v="0-1 Miles"/>
    <s v="North America"/>
    <x v="11"/>
    <x v="0"/>
    <s v="Yes"/>
  </r>
  <r>
    <n v="4"/>
    <s v="Bachelors"/>
    <s v="Management"/>
    <s v="Yes"/>
    <n v="2"/>
    <s v="1-2 Miles"/>
    <s v="North America"/>
    <x v="46"/>
    <x v="1"/>
    <s v="Yes"/>
  </r>
  <r>
    <n v="1"/>
    <s v="Bachelors"/>
    <s v="Skilled Manual"/>
    <s v="Yes"/>
    <n v="0"/>
    <s v="0-1 Miles"/>
    <s v="North America"/>
    <x v="17"/>
    <x v="0"/>
    <s v="Yes"/>
  </r>
  <r>
    <n v="0"/>
    <s v="Partial High School"/>
    <s v="Clerical"/>
    <s v="No"/>
    <n v="2"/>
    <s v="0-1 Miles"/>
    <s v="North America"/>
    <x v="26"/>
    <x v="2"/>
    <s v="No"/>
  </r>
  <r>
    <n v="5"/>
    <s v="Bachelors"/>
    <s v="Management"/>
    <s v="Yes"/>
    <n v="3"/>
    <s v="10+ Miles"/>
    <s v="North America"/>
    <x v="2"/>
    <x v="1"/>
    <s v="Yes"/>
  </r>
  <r>
    <n v="5"/>
    <s v="Graduate Degree"/>
    <s v="Professional"/>
    <s v="Yes"/>
    <n v="3"/>
    <s v="10+ Miles"/>
    <s v="North America"/>
    <x v="30"/>
    <x v="0"/>
    <s v="No"/>
  </r>
  <r>
    <n v="4"/>
    <s v="High School"/>
    <s v="Skilled Manual"/>
    <s v="Yes"/>
    <n v="2"/>
    <s v="0-1 Miles"/>
    <s v="North America"/>
    <x v="20"/>
    <x v="0"/>
    <s v="Yes"/>
  </r>
  <r>
    <n v="4"/>
    <s v="Bachelors"/>
    <s v="Skilled Manual"/>
    <s v="Yes"/>
    <n v="2"/>
    <s v="2-5 Miles"/>
    <s v="North America"/>
    <x v="0"/>
    <x v="0"/>
    <s v="Yes"/>
  </r>
  <r>
    <n v="3"/>
    <s v="Bachelors"/>
    <s v="Skilled Manual"/>
    <s v="Yes"/>
    <n v="0"/>
    <s v="2-5 Miles"/>
    <s v="North America"/>
    <x v="8"/>
    <x v="0"/>
    <s v="No"/>
  </r>
  <r>
    <n v="4"/>
    <s v="Graduate Degree"/>
    <s v="Management"/>
    <s v="Yes"/>
    <n v="1"/>
    <s v="5-10 Miles"/>
    <s v="North America"/>
    <x v="49"/>
    <x v="1"/>
    <s v="No"/>
  </r>
  <r>
    <n v="2"/>
    <s v="Bachelors"/>
    <s v="Skilled Manual"/>
    <s v="No"/>
    <n v="0"/>
    <s v="0-1 Miles"/>
    <s v="North America"/>
    <x v="4"/>
    <x v="0"/>
    <s v="Yes"/>
  </r>
  <r>
    <n v="4"/>
    <s v="Bachelors"/>
    <s v="Management"/>
    <s v="Yes"/>
    <n v="1"/>
    <s v="1-2 Miles"/>
    <s v="North America"/>
    <x v="13"/>
    <x v="0"/>
    <s v="Yes"/>
  </r>
  <r>
    <n v="1"/>
    <s v="Graduate Degree"/>
    <s v="Professional"/>
    <s v="Yes"/>
    <n v="0"/>
    <s v="2-5 Miles"/>
    <s v="North America"/>
    <x v="17"/>
    <x v="0"/>
    <s v="Yes"/>
  </r>
  <r>
    <n v="4"/>
    <s v="Bachelors"/>
    <s v="Management"/>
    <s v="Yes"/>
    <n v="2"/>
    <s v="10+ Miles"/>
    <s v="North America"/>
    <x v="18"/>
    <x v="1"/>
    <s v="No"/>
  </r>
  <r>
    <n v="3"/>
    <s v="Bachelors"/>
    <s v="Skilled Manual"/>
    <s v="Yes"/>
    <n v="2"/>
    <s v="2-5 Miles"/>
    <s v="North America"/>
    <x v="3"/>
    <x v="0"/>
    <s v="Yes"/>
  </r>
  <r>
    <n v="0"/>
    <s v="Graduate Degree"/>
    <s v="Skilled Manual"/>
    <s v="Yes"/>
    <n v="0"/>
    <s v="1-2 Miles"/>
    <s v="North America"/>
    <x v="32"/>
    <x v="0"/>
    <s v="Yes"/>
  </r>
  <r>
    <n v="4"/>
    <s v="High School"/>
    <s v="Skilled Manual"/>
    <s v="Yes"/>
    <n v="2"/>
    <s v="2-5 Miles"/>
    <s v="North America"/>
    <x v="30"/>
    <x v="0"/>
    <s v="No"/>
  </r>
  <r>
    <n v="5"/>
    <s v="Bachelors"/>
    <s v="Management"/>
    <s v="Yes"/>
    <n v="2"/>
    <s v="5-10 Miles"/>
    <s v="North America"/>
    <x v="46"/>
    <x v="1"/>
    <s v="No"/>
  </r>
  <r>
    <n v="3"/>
    <s v="Partial College"/>
    <s v="Clerical"/>
    <s v="Yes"/>
    <n v="1"/>
    <s v="1-2 Miles"/>
    <s v="North America"/>
    <x v="21"/>
    <x v="0"/>
    <s v="No"/>
  </r>
  <r>
    <n v="2"/>
    <s v="Bachelors"/>
    <s v="Skilled Manual"/>
    <s v="Yes"/>
    <n v="0"/>
    <s v="2-5 Miles"/>
    <s v="North America"/>
    <x v="4"/>
    <x v="0"/>
    <s v="Yes"/>
  </r>
  <r>
    <n v="5"/>
    <s v="Graduate Degree"/>
    <s v="Skilled Manual"/>
    <s v="No"/>
    <n v="0"/>
    <s v="0-1 Miles"/>
    <s v="North America"/>
    <x v="15"/>
    <x v="0"/>
    <s v="No"/>
  </r>
  <r>
    <n v="3"/>
    <s v="Graduate Degree"/>
    <s v="Management"/>
    <s v="Yes"/>
    <n v="2"/>
    <s v="10+ Miles"/>
    <s v="North America"/>
    <x v="46"/>
    <x v="1"/>
    <s v="No"/>
  </r>
  <r>
    <n v="3"/>
    <s v="Graduate Degree"/>
    <s v="Professional"/>
    <s v="No"/>
    <n v="0"/>
    <s v="0-1 Miles"/>
    <s v="North America"/>
    <x v="11"/>
    <x v="0"/>
    <s v="Yes"/>
  </r>
  <r>
    <n v="3"/>
    <s v="Bachelors"/>
    <s v="Management"/>
    <s v="Yes"/>
    <n v="4"/>
    <s v="2-5 Miles"/>
    <s v="North America"/>
    <x v="8"/>
    <x v="0"/>
    <s v="Yes"/>
  </r>
  <r>
    <n v="0"/>
    <s v="Partial College"/>
    <s v="Skilled Manual"/>
    <s v="Yes"/>
    <n v="2"/>
    <s v="5-10 Miles"/>
    <s v="North America"/>
    <x v="17"/>
    <x v="0"/>
    <s v="Yes"/>
  </r>
  <r>
    <n v="4"/>
    <s v="High School"/>
    <s v="Professional"/>
    <s v="Yes"/>
    <n v="2"/>
    <s v="10+ Miles"/>
    <s v="North America"/>
    <x v="33"/>
    <x v="1"/>
    <s v="No"/>
  </r>
  <r>
    <n v="2"/>
    <s v="High School"/>
    <s v="Skilled Manual"/>
    <s v="Yes"/>
    <n v="2"/>
    <s v="1-2 Miles"/>
    <s v="North America"/>
    <x v="36"/>
    <x v="0"/>
    <s v="No"/>
  </r>
  <r>
    <n v="3"/>
    <s v="Partial College"/>
    <s v="Professional"/>
    <s v="Yes"/>
    <n v="1"/>
    <s v="5-10 Miles"/>
    <s v="North America"/>
    <x v="38"/>
    <x v="0"/>
    <s v="Yes"/>
  </r>
  <r>
    <n v="3"/>
    <s v="Partial College"/>
    <s v="Professional"/>
    <s v="No"/>
    <n v="2"/>
    <s v="1-2 Miles"/>
    <s v="North America"/>
    <x v="9"/>
    <x v="0"/>
    <s v="Yes"/>
  </r>
  <r>
    <n v="3"/>
    <s v="Graduate Degree"/>
    <s v="Management"/>
    <s v="No"/>
    <n v="2"/>
    <s v="1-2 Miles"/>
    <s v="North America"/>
    <x v="39"/>
    <x v="0"/>
    <s v="Yes"/>
  </r>
  <r>
    <n v="2"/>
    <s v="Partial College"/>
    <s v="Professional"/>
    <s v="Yes"/>
    <n v="1"/>
    <s v="2-5 Miles"/>
    <s v="North America"/>
    <x v="28"/>
    <x v="0"/>
    <s v="Yes"/>
  </r>
  <r>
    <n v="0"/>
    <s v="Graduate Degree"/>
    <s v="Skilled Manual"/>
    <s v="Yes"/>
    <n v="0"/>
    <s v="1-2 Miles"/>
    <s v="North America"/>
    <x v="6"/>
    <x v="0"/>
    <s v="Yes"/>
  </r>
  <r>
    <n v="2"/>
    <s v="High School"/>
    <s v="Professional"/>
    <s v="Yes"/>
    <n v="2"/>
    <s v="10+ Miles"/>
    <s v="North America"/>
    <x v="42"/>
    <x v="1"/>
    <s v="No"/>
  </r>
  <r>
    <n v="0"/>
    <s v="Graduate Degree"/>
    <s v="Professional"/>
    <s v="Yes"/>
    <n v="0"/>
    <s v="2-5 Miles"/>
    <s v="North America"/>
    <x v="32"/>
    <x v="0"/>
    <s v="No"/>
  </r>
  <r>
    <n v="2"/>
    <s v="High School"/>
    <s v="Professional"/>
    <s v="Yes"/>
    <n v="2"/>
    <s v="5-10 Miles"/>
    <s v="North America"/>
    <x v="28"/>
    <x v="0"/>
    <s v="No"/>
  </r>
  <r>
    <n v="2"/>
    <s v="High School"/>
    <s v="Professional"/>
    <s v="Yes"/>
    <n v="2"/>
    <s v="5-10 Miles"/>
    <s v="North America"/>
    <x v="5"/>
    <x v="0"/>
    <s v="No"/>
  </r>
  <r>
    <n v="5"/>
    <s v="Graduate Degree"/>
    <s v="Professional"/>
    <s v="No"/>
    <n v="3"/>
    <s v="10+ Miles"/>
    <s v="North America"/>
    <x v="15"/>
    <x v="0"/>
    <s v="No"/>
  </r>
  <r>
    <n v="1"/>
    <s v="Partial College"/>
    <s v="Clerical"/>
    <s v="Yes"/>
    <n v="1"/>
    <s v="1-2 Miles"/>
    <s v="North America"/>
    <x v="38"/>
    <x v="0"/>
    <s v="Yes"/>
  </r>
  <r>
    <n v="0"/>
    <s v="High School"/>
    <s v="Skilled Manual"/>
    <s v="No"/>
    <n v="2"/>
    <s v="0-1 Miles"/>
    <s v="North America"/>
    <x v="40"/>
    <x v="2"/>
    <s v="Yes"/>
  </r>
  <r>
    <n v="0"/>
    <s v="Partial College"/>
    <s v="Skilled Manual"/>
    <s v="Yes"/>
    <n v="0"/>
    <s v="5-10 Miles"/>
    <s v="North America"/>
    <x v="19"/>
    <x v="2"/>
    <s v="No"/>
  </r>
  <r>
    <n v="2"/>
    <s v="Bachelors"/>
    <s v="Management"/>
    <s v="Yes"/>
    <n v="0"/>
    <s v="2-5 Miles"/>
    <s v="North America"/>
    <x v="14"/>
    <x v="1"/>
    <s v="No"/>
  </r>
  <r>
    <n v="1"/>
    <s v="Partial College"/>
    <s v="Skilled Manual"/>
    <s v="Yes"/>
    <n v="1"/>
    <s v="0-1 Miles"/>
    <s v="North America"/>
    <x v="12"/>
    <x v="0"/>
    <s v="Yes"/>
  </r>
  <r>
    <n v="4"/>
    <s v="Bachelors"/>
    <s v="Management"/>
    <s v="Yes"/>
    <n v="2"/>
    <s v="2-5 Miles"/>
    <s v="North America"/>
    <x v="2"/>
    <x v="1"/>
    <s v="No"/>
  </r>
  <r>
    <n v="4"/>
    <s v="Graduate Degree"/>
    <s v="Professional"/>
    <s v="Yes"/>
    <n v="0"/>
    <s v="0-1 Miles"/>
    <s v="North America"/>
    <x v="4"/>
    <x v="0"/>
    <s v="Yes"/>
  </r>
  <r>
    <n v="0"/>
    <s v="High School"/>
    <s v="Skilled Manual"/>
    <s v="Yes"/>
    <n v="2"/>
    <s v="5-10 Miles"/>
    <s v="North America"/>
    <x v="40"/>
    <x v="2"/>
    <s v="No"/>
  </r>
  <r>
    <n v="2"/>
    <s v="Partial High School"/>
    <s v="Skilled Manual"/>
    <s v="No"/>
    <n v="2"/>
    <s v="1-2 Miles"/>
    <s v="North America"/>
    <x v="5"/>
    <x v="0"/>
    <s v="No"/>
  </r>
  <r>
    <n v="1"/>
    <s v="Graduate Degree"/>
    <s v="Skilled Manual"/>
    <s v="Yes"/>
    <n v="0"/>
    <s v="1-2 Miles"/>
    <s v="North America"/>
    <x v="11"/>
    <x v="0"/>
    <s v="No"/>
  </r>
  <r>
    <n v="1"/>
    <s v="Graduate Degree"/>
    <s v="Skilled Manual"/>
    <s v="Yes"/>
    <n v="0"/>
    <s v="2-5 Miles"/>
    <s v="North America"/>
    <x v="17"/>
    <x v="0"/>
    <s v="Yes"/>
  </r>
  <r>
    <n v="3"/>
    <s v="Partial College"/>
    <s v="Professional"/>
    <s v="Yes"/>
    <n v="2"/>
    <s v="5-10 Miles"/>
    <s v="North America"/>
    <x v="9"/>
    <x v="0"/>
    <s v="No"/>
  </r>
  <r>
    <n v="4"/>
    <s v="Bachelors"/>
    <s v="Skilled Manual"/>
    <s v="No"/>
    <n v="2"/>
    <s v="0-1 Miles"/>
    <s v="North America"/>
    <x v="0"/>
    <x v="0"/>
    <s v="No"/>
  </r>
  <r>
    <n v="1"/>
    <s v="Bachelors"/>
    <s v="Skilled Manual"/>
    <s v="Yes"/>
    <n v="0"/>
    <s v="2-5 Miles"/>
    <s v="North America"/>
    <x v="17"/>
    <x v="0"/>
    <s v="Yes"/>
  </r>
  <r>
    <n v="2"/>
    <s v="Bachelors"/>
    <s v="Skilled Manual"/>
    <s v="No"/>
    <n v="1"/>
    <s v="0-1 Miles"/>
    <s v="North America"/>
    <x v="13"/>
    <x v="0"/>
    <s v="Yes"/>
  </r>
  <r>
    <n v="5"/>
    <s v="Bachelors"/>
    <s v="Management"/>
    <s v="Yes"/>
    <n v="2"/>
    <s v="1-2 Miles"/>
    <s v="North America"/>
    <x v="18"/>
    <x v="1"/>
    <s v="Yes"/>
  </r>
  <r>
    <n v="4"/>
    <s v="High School"/>
    <s v="Professional"/>
    <s v="No"/>
    <n v="3"/>
    <s v="1-2 Miles"/>
    <s v="North America"/>
    <x v="12"/>
    <x v="0"/>
    <s v="Yes"/>
  </r>
  <r>
    <n v="0"/>
    <s v="Graduate Degree"/>
    <s v="Skilled Manual"/>
    <s v="No"/>
    <n v="0"/>
    <s v="0-1 Miles"/>
    <s v="North America"/>
    <x v="8"/>
    <x v="0"/>
    <s v="No"/>
  </r>
  <r>
    <n v="2"/>
    <s v="Partial High School"/>
    <s v="Skilled Manual"/>
    <s v="Yes"/>
    <n v="2"/>
    <s v="10+ Miles"/>
    <s v="North America"/>
    <x v="39"/>
    <x v="0"/>
    <s v="No"/>
  </r>
  <r>
    <n v="1"/>
    <s v="Graduate Degree"/>
    <s v="Professional"/>
    <s v="Yes"/>
    <n v="0"/>
    <s v="2-5 Miles"/>
    <s v="North America"/>
    <x v="17"/>
    <x v="0"/>
    <s v="No"/>
  </r>
  <r>
    <n v="0"/>
    <s v="Bachelors"/>
    <s v="Professional"/>
    <s v="No"/>
    <n v="1"/>
    <s v="0-1 Miles"/>
    <s v="North America"/>
    <x v="13"/>
    <x v="0"/>
    <s v="No"/>
  </r>
  <r>
    <n v="4"/>
    <s v="Bachelors"/>
    <s v="Management"/>
    <s v="No"/>
    <n v="1"/>
    <s v="1-2 Miles"/>
    <s v="North America"/>
    <x v="14"/>
    <x v="1"/>
    <s v="No"/>
  </r>
  <r>
    <n v="3"/>
    <s v="Partial College"/>
    <s v="Clerical"/>
    <s v="Yes"/>
    <n v="1"/>
    <s v="1-2 Miles"/>
    <s v="North America"/>
    <x v="25"/>
    <x v="2"/>
    <s v="Yes"/>
  </r>
  <r>
    <n v="1"/>
    <s v="Bachelors"/>
    <s v="Professional"/>
    <s v="Yes"/>
    <n v="1"/>
    <s v="0-1 Miles"/>
    <s v="North America"/>
    <x v="28"/>
    <x v="0"/>
    <s v="Yes"/>
  </r>
  <r>
    <n v="4"/>
    <s v="High School"/>
    <s v="Skilled Manual"/>
    <s v="Yes"/>
    <n v="2"/>
    <s v="2-5 Miles"/>
    <s v="North America"/>
    <x v="1"/>
    <x v="0"/>
    <s v="No"/>
  </r>
  <r>
    <n v="4"/>
    <s v="Graduate Degree"/>
    <s v="Professional"/>
    <s v="Yes"/>
    <n v="0"/>
    <s v="2-5 Miles"/>
    <s v="North America"/>
    <x v="11"/>
    <x v="0"/>
    <s v="Yes"/>
  </r>
  <r>
    <n v="0"/>
    <s v="Partial College"/>
    <s v="Professional"/>
    <s v="Yes"/>
    <n v="2"/>
    <s v="5-10 Miles"/>
    <s v="North America"/>
    <x v="25"/>
    <x v="2"/>
    <s v="No"/>
  </r>
  <r>
    <n v="5"/>
    <s v="Graduate Degree"/>
    <s v="Professional"/>
    <s v="Yes"/>
    <n v="0"/>
    <s v="0-1 Miles"/>
    <s v="North America"/>
    <x v="15"/>
    <x v="0"/>
    <s v="Yes"/>
  </r>
  <r>
    <n v="1"/>
    <s v="Partial College"/>
    <s v="Skilled Manual"/>
    <s v="Yes"/>
    <n v="1"/>
    <s v="2-5 Miles"/>
    <s v="North America"/>
    <x v="12"/>
    <x v="0"/>
    <s v="Yes"/>
  </r>
  <r>
    <n v="0"/>
    <s v="Partial College"/>
    <s v="Professional"/>
    <s v="No"/>
    <n v="4"/>
    <s v="1-2 Miles"/>
    <s v="North America"/>
    <x v="12"/>
    <x v="0"/>
    <s v="No"/>
  </r>
  <r>
    <n v="2"/>
    <s v="Bachelors"/>
    <s v="Management"/>
    <s v="Yes"/>
    <n v="3"/>
    <s v="5-10 Miles"/>
    <s v="North America"/>
    <x v="24"/>
    <x v="1"/>
    <s v="No"/>
  </r>
  <r>
    <n v="2"/>
    <s v="Partial College"/>
    <s v="Professional"/>
    <s v="Yes"/>
    <n v="2"/>
    <s v="10+ Miles"/>
    <s v="North America"/>
    <x v="10"/>
    <x v="1"/>
    <s v="No"/>
  </r>
  <r>
    <n v="5"/>
    <s v="Bachelors"/>
    <s v="Management"/>
    <s v="Yes"/>
    <n v="2"/>
    <s v="1-2 Miles"/>
    <s v="North America"/>
    <x v="29"/>
    <x v="1"/>
    <s v="Yes"/>
  </r>
  <r>
    <n v="4"/>
    <s v="Partial College"/>
    <s v="Professional"/>
    <s v="Yes"/>
    <n v="1"/>
    <s v="10+ Miles"/>
    <s v="North America"/>
    <x v="16"/>
    <x v="1"/>
    <s v="No"/>
  </r>
  <r>
    <n v="3"/>
    <s v="Bachelors"/>
    <s v="Skilled Manual"/>
    <s v="No"/>
    <n v="1"/>
    <s v="0-1 Miles"/>
    <s v="North America"/>
    <x v="8"/>
    <x v="0"/>
    <s v="No"/>
  </r>
  <r>
    <n v="0"/>
    <s v="Graduate Degree"/>
    <s v="Skilled Manual"/>
    <s v="Yes"/>
    <n v="0"/>
    <s v="1-2 Miles"/>
    <s v="North America"/>
    <x v="6"/>
    <x v="0"/>
    <s v="Yes"/>
  </r>
  <r>
    <n v="3"/>
    <s v="Bachelors"/>
    <s v="Management"/>
    <s v="Yes"/>
    <n v="1"/>
    <s v="1-2 Miles"/>
    <s v="North America"/>
    <x v="16"/>
    <x v="1"/>
    <s v="No"/>
  </r>
  <r>
    <n v="0"/>
    <s v="Partial High School"/>
    <s v="Clerical"/>
    <s v="No"/>
    <n v="2"/>
    <s v="5-10 Miles"/>
    <s v="North America"/>
    <x v="40"/>
    <x v="2"/>
    <s v="No"/>
  </r>
  <r>
    <n v="0"/>
    <s v="Graduate Degree"/>
    <s v="Professional"/>
    <s v="No"/>
    <n v="0"/>
    <s v="0-1 Miles"/>
    <s v="North America"/>
    <x v="32"/>
    <x v="0"/>
    <s v="No"/>
  </r>
  <r>
    <n v="0"/>
    <s v="Partial College"/>
    <s v="Skilled Manual"/>
    <s v="Yes"/>
    <n v="2"/>
    <s v="5-10 Miles"/>
    <s v="North America"/>
    <x v="23"/>
    <x v="0"/>
    <s v="No"/>
  </r>
  <r>
    <n v="2"/>
    <s v="Partial High School"/>
    <s v="Skilled Manual"/>
    <s v="No"/>
    <n v="2"/>
    <s v="1-2 Miles"/>
    <s v="North America"/>
    <x v="36"/>
    <x v="0"/>
    <s v="No"/>
  </r>
  <r>
    <n v="1"/>
    <s v="High School"/>
    <s v="Clerical"/>
    <s v="Yes"/>
    <n v="1"/>
    <s v="5-10 Miles"/>
    <s v="North America"/>
    <x v="31"/>
    <x v="0"/>
    <s v="No"/>
  </r>
  <r>
    <n v="1"/>
    <s v="Partial College"/>
    <s v="Skilled Manual"/>
    <s v="No"/>
    <n v="1"/>
    <s v="0-1 Miles"/>
    <s v="North America"/>
    <x v="15"/>
    <x v="0"/>
    <s v="No"/>
  </r>
  <r>
    <n v="3"/>
    <s v="Graduate Degree"/>
    <s v="Management"/>
    <s v="Yes"/>
    <n v="2"/>
    <s v="5-10 Miles"/>
    <s v="North America"/>
    <x v="39"/>
    <x v="0"/>
    <s v="Yes"/>
  </r>
  <r>
    <n v="3"/>
    <s v="Graduate Degree"/>
    <s v="Professional"/>
    <s v="Yes"/>
    <n v="0"/>
    <s v="0-1 Miles"/>
    <s v="North America"/>
    <x v="11"/>
    <x v="0"/>
    <s v="Yes"/>
  </r>
  <r>
    <n v="3"/>
    <s v="Bachelors"/>
    <s v="Management"/>
    <s v="Yes"/>
    <n v="2"/>
    <s v="10+ Miles"/>
    <s v="North America"/>
    <x v="29"/>
    <x v="1"/>
    <s v="No"/>
  </r>
  <r>
    <n v="4"/>
    <s v="Graduate Degree"/>
    <s v="Management"/>
    <s v="Yes"/>
    <n v="2"/>
    <s v="5-10 Miles"/>
    <s v="North America"/>
    <x v="27"/>
    <x v="1"/>
    <s v="No"/>
  </r>
  <r>
    <n v="5"/>
    <s v="Partial College"/>
    <s v="Professional"/>
    <s v="Yes"/>
    <n v="3"/>
    <s v="5-10 Miles"/>
    <s v="North America"/>
    <x v="12"/>
    <x v="0"/>
    <s v="No"/>
  </r>
  <r>
    <n v="0"/>
    <s v="High School"/>
    <s v="Skilled Manual"/>
    <s v="Yes"/>
    <n v="1"/>
    <s v="5-10 Miles"/>
    <s v="North America"/>
    <x v="23"/>
    <x v="0"/>
    <s v="No"/>
  </r>
  <r>
    <n v="3"/>
    <s v="Bachelors"/>
    <s v="Skilled Manual"/>
    <s v="Yes"/>
    <n v="3"/>
    <s v="10+ Miles"/>
    <s v="North America"/>
    <x v="8"/>
    <x v="0"/>
    <s v="Yes"/>
  </r>
  <r>
    <n v="5"/>
    <s v="Partial College"/>
    <s v="Professional"/>
    <s v="Yes"/>
    <n v="4"/>
    <s v="2-5 Miles"/>
    <s v="North America"/>
    <x v="30"/>
    <x v="0"/>
    <s v="No"/>
  </r>
  <r>
    <n v="2"/>
    <s v="Partial College"/>
    <s v="Clerical"/>
    <s v="No"/>
    <n v="1"/>
    <s v="1-2 Miles"/>
    <s v="North America"/>
    <x v="15"/>
    <x v="0"/>
    <s v="Yes"/>
  </r>
  <r>
    <n v="2"/>
    <s v="Graduate Degree"/>
    <s v="Management"/>
    <s v="Yes"/>
    <n v="2"/>
    <s v="0-1 Miles"/>
    <s v="North America"/>
    <x v="3"/>
    <x v="0"/>
    <s v="No"/>
  </r>
  <r>
    <n v="2"/>
    <s v="High School"/>
    <s v="Professional"/>
    <s v="No"/>
    <n v="2"/>
    <s v="1-2 Miles"/>
    <s v="North America"/>
    <x v="28"/>
    <x v="0"/>
    <s v="Yes"/>
  </r>
  <r>
    <n v="4"/>
    <s v="Bachelors"/>
    <s v="Skilled Manual"/>
    <s v="Yes"/>
    <n v="2"/>
    <s v="0-1 Miles"/>
    <s v="North America"/>
    <x v="0"/>
    <x v="0"/>
    <s v="No"/>
  </r>
  <r>
    <n v="5"/>
    <s v="High School"/>
    <s v="Professional"/>
    <s v="Yes"/>
    <n v="4"/>
    <s v="10+ Miles"/>
    <s v="North America"/>
    <x v="2"/>
    <x v="1"/>
    <s v="Yes"/>
  </r>
  <r>
    <n v="3"/>
    <s v="Graduate Degree"/>
    <s v="Management"/>
    <s v="Yes"/>
    <n v="2"/>
    <s v="10+ Miles"/>
    <s v="North America"/>
    <x v="29"/>
    <x v="1"/>
    <s v="No"/>
  </r>
  <r>
    <n v="5"/>
    <s v="Bachelors"/>
    <s v="Management"/>
    <s v="Yes"/>
    <n v="2"/>
    <s v="10+ Miles"/>
    <s v="North America"/>
    <x v="18"/>
    <x v="1"/>
    <s v="No"/>
  </r>
  <r>
    <n v="4"/>
    <s v="Bachelors"/>
    <s v="Skilled Manual"/>
    <s v="No"/>
    <n v="3"/>
    <s v="10+ Miles"/>
    <s v="North America"/>
    <x v="0"/>
    <x v="0"/>
    <s v="No"/>
  </r>
  <r>
    <n v="0"/>
    <s v="High School"/>
    <s v="Skilled Manual"/>
    <s v="No"/>
    <n v="2"/>
    <s v="5-10 Miles"/>
    <s v="North America"/>
    <x v="22"/>
    <x v="2"/>
    <s v="No"/>
  </r>
  <r>
    <n v="1"/>
    <s v="Graduate Degree"/>
    <s v="Professional"/>
    <s v="Yes"/>
    <n v="0"/>
    <s v="2-5 Miles"/>
    <s v="North America"/>
    <x v="4"/>
    <x v="0"/>
    <s v="Yes"/>
  </r>
  <r>
    <n v="2"/>
    <s v="Partial College"/>
    <s v="Professional"/>
    <s v="No"/>
    <n v="0"/>
    <s v="5-10 Miles"/>
    <s v="North America"/>
    <x v="38"/>
    <x v="0"/>
    <s v="Yes"/>
  </r>
  <r>
    <n v="1"/>
    <s v="Partial College"/>
    <s v="Professional"/>
    <s v="No"/>
    <n v="3"/>
    <s v="0-1 Miles"/>
    <s v="North America"/>
    <x v="20"/>
    <x v="0"/>
    <s v="Yes"/>
  </r>
  <r>
    <n v="5"/>
    <s v="Partial College"/>
    <s v="Professional"/>
    <s v="Yes"/>
    <n v="3"/>
    <s v="1-2 Miles"/>
    <s v="North America"/>
    <x v="30"/>
    <x v="0"/>
    <s v="No"/>
  </r>
  <r>
    <n v="2"/>
    <s v="High School"/>
    <s v="Professional"/>
    <s v="Yes"/>
    <n v="2"/>
    <s v="2-5 Miles"/>
    <s v="North America"/>
    <x v="9"/>
    <x v="0"/>
    <s v="Yes"/>
  </r>
  <r>
    <n v="4"/>
    <s v="Graduate Degree"/>
    <s v="Professional"/>
    <s v="Yes"/>
    <n v="0"/>
    <s v="2-5 Miles"/>
    <s v="North America"/>
    <x v="11"/>
    <x v="0"/>
    <s v="Yes"/>
  </r>
  <r>
    <n v="2"/>
    <s v="Bachelors"/>
    <s v="Skilled Manual"/>
    <s v="Yes"/>
    <n v="0"/>
    <s v="0-1 Miles"/>
    <s v="North America"/>
    <x v="13"/>
    <x v="0"/>
    <s v="Yes"/>
  </r>
  <r>
    <n v="3"/>
    <s v="Bachelors"/>
    <s v="Management"/>
    <s v="No"/>
    <n v="3"/>
    <s v="1-2 Miles"/>
    <s v="North America"/>
    <x v="13"/>
    <x v="0"/>
    <s v="No"/>
  </r>
  <r>
    <n v="3"/>
    <s v="High School"/>
    <s v="Professional"/>
    <s v="Yes"/>
    <n v="2"/>
    <s v="10+ Miles"/>
    <s v="North America"/>
    <x v="39"/>
    <x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BD919-43E4-480E-A045-413D067703F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7:I44" firstHeaderRow="1" firstDataRow="1" firstDataCol="0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656CC-8968-4441-85B4-0A2D5CFC064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I23" firstHeaderRow="0" firstDataRow="1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ssets Owned(Cars)" fld="8" baseField="0" baseItem="0"/>
    <dataField name="Count of Home Ownership stat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7DE4-F472-4C7F-9FC7-E286D7F3D69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37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Income" fld="3" subtotal="average" baseField="1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F1188-D8EB-44EC-8E32-26CD413A9C2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5" firstHeaderRow="1" firstDataRow="1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Income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9395D-2FCC-4216-A6AB-ED52E54950B1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18" firstHeaderRow="1" firstDataRow="1" firstDataCol="1"/>
  <pivotFields count="14">
    <pivotField showAll="0"/>
    <pivotField showAll="0"/>
    <pivotField showAll="0"/>
    <pivotField numFmtId="165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insuranc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4373-6CED-4E11-A025-F4BE891CB6E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0" firstHeaderRow="1" firstDataRow="1" firstDataCol="1"/>
  <pivotFields count="14">
    <pivotField showAll="0"/>
    <pivotField showAll="0"/>
    <pivotField showAll="0">
      <items count="3">
        <item h="1" x="0"/>
        <item x="1"/>
        <item t="default"/>
      </items>
    </pivotField>
    <pivotField dataField="1" numFmtId="165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come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198FA-0547-433D-AB2A-CBD26F4F8B8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2" firstHeaderRow="1" firstDataRow="1" firstDataCol="1"/>
  <pivotFields count="14"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ncome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06285-B27E-401C-BFE2-611D37527B8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I16" firstHeaderRow="0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endent" fld="0" baseField="0" baseItem="0"/>
    <dataField name="Count of Purchased insuranc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9012E-3F93-4489-9074-4B7FFE2B336B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8:E31" firstHeaderRow="1" firstDataRow="1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Purchased insurance" fld="13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F7BC6-B70E-4011-A23C-AC362346A967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E25" firstHeaderRow="1" firstDataRow="1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insuranc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EA74AB-67ED-4582-AE54-47EFE565CFF7}">
  <we:reference id="wa200010170" version="1.2.0.0" store="en-US" storeType="OMEX"/>
  <we:alternateReferences>
    <we:reference id="wa200010170" version="1.2.0.0" store="wa20001017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18" sqref="D18"/>
    </sheetView>
  </sheetViews>
  <sheetFormatPr defaultColWidth="11.90625" defaultRowHeight="14.5" x14ac:dyDescent="0.35"/>
  <cols>
    <col min="1" max="1" width="5.81640625" bestFit="1" customWidth="1"/>
    <col min="2" max="2" width="12.36328125" bestFit="1" customWidth="1"/>
    <col min="3" max="3" width="7" bestFit="1" customWidth="1"/>
    <col min="4" max="4" width="10.81640625" bestFit="1" customWidth="1"/>
    <col min="5" max="5" width="7.81640625" bestFit="1" customWidth="1"/>
    <col min="6" max="6" width="16.26953125" bestFit="1" customWidth="1"/>
    <col min="7" max="7" width="13" bestFit="1" customWidth="1"/>
    <col min="9" max="9" width="4.453125" bestFit="1" customWidth="1"/>
    <col min="10" max="10" width="16.6328125" bestFit="1" customWidth="1"/>
    <col min="11" max="11" width="13" bestFit="1" customWidth="1"/>
    <col min="12" max="12" width="3.90625" bestFit="1" customWidth="1"/>
    <col min="13" max="13" width="13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EE9E-2BFD-4C18-A956-4AC04E1571C4}">
  <dimension ref="A1:N1001"/>
  <sheetViews>
    <sheetView topLeftCell="E981" workbookViewId="0">
      <selection activeCell="K1" sqref="K1:K1048576"/>
    </sheetView>
  </sheetViews>
  <sheetFormatPr defaultColWidth="11.90625" defaultRowHeight="14.5" x14ac:dyDescent="0.35"/>
  <cols>
    <col min="1" max="1" width="13.54296875" bestFit="1" customWidth="1"/>
    <col min="2" max="2" width="22.54296875" bestFit="1" customWidth="1"/>
    <col min="3" max="3" width="7" bestFit="1" customWidth="1"/>
    <col min="4" max="4" width="13.36328125" style="5" bestFit="1" customWidth="1"/>
    <col min="5" max="5" width="10.08984375" bestFit="1" customWidth="1"/>
    <col min="6" max="6" width="16.26953125" bestFit="1" customWidth="1"/>
    <col min="7" max="7" width="19.36328125" bestFit="1" customWidth="1"/>
    <col min="8" max="8" width="21.08984375" bestFit="1" customWidth="1"/>
    <col min="9" max="9" width="17.6328125" bestFit="1" customWidth="1"/>
    <col min="10" max="10" width="16.6328125" bestFit="1" customWidth="1"/>
    <col min="11" max="11" width="13" bestFit="1" customWidth="1"/>
    <col min="12" max="12" width="13.90625" bestFit="1" customWidth="1"/>
    <col min="13" max="13" width="13.90625" customWidth="1"/>
    <col min="14" max="14" width="18.1796875" bestFit="1" customWidth="1"/>
  </cols>
  <sheetData>
    <row r="1" spans="1:14" x14ac:dyDescent="0.35">
      <c r="A1" t="s">
        <v>42</v>
      </c>
      <c r="B1" t="s">
        <v>43</v>
      </c>
      <c r="C1" t="s">
        <v>2</v>
      </c>
      <c r="D1" s="5" t="s">
        <v>3</v>
      </c>
      <c r="E1" t="s">
        <v>44</v>
      </c>
      <c r="F1" t="s">
        <v>49</v>
      </c>
      <c r="G1" t="s">
        <v>48</v>
      </c>
      <c r="H1" t="s">
        <v>47</v>
      </c>
      <c r="I1" t="s">
        <v>45</v>
      </c>
      <c r="J1" t="s">
        <v>9</v>
      </c>
      <c r="K1" t="s">
        <v>10</v>
      </c>
      <c r="L1" t="s">
        <v>11</v>
      </c>
      <c r="M1" t="s">
        <v>50</v>
      </c>
      <c r="N1" t="s">
        <v>46</v>
      </c>
    </row>
    <row r="2" spans="1:14" x14ac:dyDescent="0.35">
      <c r="A2">
        <v>12496</v>
      </c>
      <c r="B2" t="s">
        <v>36</v>
      </c>
      <c r="C2" t="s">
        <v>39</v>
      </c>
      <c r="D2" s="5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 "Old", IF(L2&gt;=31, "Middle Age", IF(L2&lt;31, "Adolescent", "invalid")))</f>
        <v>Middle Age</v>
      </c>
      <c r="N2" t="s">
        <v>18</v>
      </c>
    </row>
    <row r="3" spans="1:14" x14ac:dyDescent="0.35">
      <c r="A3">
        <v>24107</v>
      </c>
      <c r="B3" t="s">
        <v>36</v>
      </c>
      <c r="C3" t="s">
        <v>38</v>
      </c>
      <c r="D3" s="6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 "Old", IF(L3&gt;=31, "Middle Age", IF(L3&lt;31, "Adolescent", "invalid")))</f>
        <v>Middle Age</v>
      </c>
      <c r="N3" t="s">
        <v>18</v>
      </c>
    </row>
    <row r="4" spans="1:14" x14ac:dyDescent="0.35">
      <c r="A4">
        <v>14177</v>
      </c>
      <c r="B4" t="s">
        <v>36</v>
      </c>
      <c r="C4" t="s">
        <v>38</v>
      </c>
      <c r="D4" s="5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5">
      <c r="A5">
        <v>24381</v>
      </c>
      <c r="B5" t="s">
        <v>37</v>
      </c>
      <c r="C5" t="s">
        <v>38</v>
      </c>
      <c r="D5" s="5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5">
      <c r="A6">
        <v>25597</v>
      </c>
      <c r="B6" t="s">
        <v>37</v>
      </c>
      <c r="C6" t="s">
        <v>38</v>
      </c>
      <c r="D6" s="5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5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5">
      <c r="A8">
        <v>27974</v>
      </c>
      <c r="B8" t="s">
        <v>37</v>
      </c>
      <c r="C8" t="s">
        <v>38</v>
      </c>
      <c r="D8" s="5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5">
      <c r="A9">
        <v>19364</v>
      </c>
      <c r="B9" t="s">
        <v>36</v>
      </c>
      <c r="C9" t="s">
        <v>38</v>
      </c>
      <c r="D9" s="5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5">
      <c r="A10">
        <v>22155</v>
      </c>
      <c r="B10" t="s">
        <v>36</v>
      </c>
      <c r="C10" t="s">
        <v>38</v>
      </c>
      <c r="D10" s="5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5">
      <c r="A11">
        <v>19280</v>
      </c>
      <c r="B11" t="s">
        <v>36</v>
      </c>
      <c r="C11" t="s">
        <v>38</v>
      </c>
      <c r="D11" s="5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5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5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5">
      <c r="A14">
        <v>11434</v>
      </c>
      <c r="B14" t="s">
        <v>36</v>
      </c>
      <c r="C14" t="s">
        <v>38</v>
      </c>
      <c r="D14" s="5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5">
      <c r="A15">
        <v>25323</v>
      </c>
      <c r="B15" t="s">
        <v>36</v>
      </c>
      <c r="C15" t="s">
        <v>38</v>
      </c>
      <c r="D15" s="5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5">
      <c r="A16">
        <v>23542</v>
      </c>
      <c r="B16" t="s">
        <v>37</v>
      </c>
      <c r="C16" t="s">
        <v>38</v>
      </c>
      <c r="D16" s="5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5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5">
      <c r="A18">
        <v>23316</v>
      </c>
      <c r="B18" t="s">
        <v>37</v>
      </c>
      <c r="C18" t="s">
        <v>38</v>
      </c>
      <c r="D18" s="5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5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5">
      <c r="A20">
        <v>27183</v>
      </c>
      <c r="B20" t="s">
        <v>37</v>
      </c>
      <c r="C20" t="s">
        <v>38</v>
      </c>
      <c r="D20" s="5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5">
      <c r="A21">
        <v>25940</v>
      </c>
      <c r="B21" t="s">
        <v>37</v>
      </c>
      <c r="C21" t="s">
        <v>38</v>
      </c>
      <c r="D21" s="5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5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5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5">
      <c r="A24">
        <v>19193</v>
      </c>
      <c r="B24" t="s">
        <v>37</v>
      </c>
      <c r="C24" t="s">
        <v>38</v>
      </c>
      <c r="D24" s="5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5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5">
      <c r="A26">
        <v>27184</v>
      </c>
      <c r="B26" t="s">
        <v>37</v>
      </c>
      <c r="C26" t="s">
        <v>38</v>
      </c>
      <c r="D26" s="5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5">
      <c r="A27">
        <v>12590</v>
      </c>
      <c r="B27" t="s">
        <v>37</v>
      </c>
      <c r="C27" t="s">
        <v>38</v>
      </c>
      <c r="D27" s="5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5">
      <c r="A28">
        <v>17841</v>
      </c>
      <c r="B28" t="s">
        <v>37</v>
      </c>
      <c r="C28" t="s">
        <v>38</v>
      </c>
      <c r="D28" s="5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5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5">
      <c r="A30">
        <v>18299</v>
      </c>
      <c r="B30" t="s">
        <v>36</v>
      </c>
      <c r="C30" t="s">
        <v>38</v>
      </c>
      <c r="D30" s="5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5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5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5">
      <c r="A33">
        <v>22400</v>
      </c>
      <c r="B33" t="s">
        <v>36</v>
      </c>
      <c r="C33" t="s">
        <v>38</v>
      </c>
      <c r="D33" s="5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5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5">
      <c r="A35">
        <v>18484</v>
      </c>
      <c r="B35" t="s">
        <v>37</v>
      </c>
      <c r="C35" t="s">
        <v>38</v>
      </c>
      <c r="D35" s="5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5">
      <c r="A36">
        <v>12291</v>
      </c>
      <c r="B36" t="s">
        <v>37</v>
      </c>
      <c r="C36" t="s">
        <v>38</v>
      </c>
      <c r="D36" s="5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5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5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5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5">
      <c r="A40">
        <v>26863</v>
      </c>
      <c r="B40" t="s">
        <v>37</v>
      </c>
      <c r="C40" t="s">
        <v>38</v>
      </c>
      <c r="D40" s="5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5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5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5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5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5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5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5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5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5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5">
      <c r="A50">
        <v>19487</v>
      </c>
      <c r="B50" t="s">
        <v>36</v>
      </c>
      <c r="C50" t="s">
        <v>38</v>
      </c>
      <c r="D50" s="5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5">
      <c r="A51">
        <v>14939</v>
      </c>
      <c r="B51" t="s">
        <v>37</v>
      </c>
      <c r="C51" t="s">
        <v>38</v>
      </c>
      <c r="D51" s="5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5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5">
      <c r="A53">
        <v>20619</v>
      </c>
      <c r="B53" t="s">
        <v>37</v>
      </c>
      <c r="C53" t="s">
        <v>38</v>
      </c>
      <c r="D53" s="5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5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5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5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5">
      <c r="A57">
        <v>28906</v>
      </c>
      <c r="B57" t="s">
        <v>36</v>
      </c>
      <c r="C57" t="s">
        <v>38</v>
      </c>
      <c r="D57" s="5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5">
      <c r="A58">
        <v>12808</v>
      </c>
      <c r="B58" t="s">
        <v>36</v>
      </c>
      <c r="C58" t="s">
        <v>38</v>
      </c>
      <c r="D58" s="5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5">
      <c r="A59">
        <v>20567</v>
      </c>
      <c r="B59" t="s">
        <v>36</v>
      </c>
      <c r="C59" t="s">
        <v>38</v>
      </c>
      <c r="D59" s="5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5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5">
      <c r="A61">
        <v>15580</v>
      </c>
      <c r="B61" t="s">
        <v>36</v>
      </c>
      <c r="C61" t="s">
        <v>38</v>
      </c>
      <c r="D61" s="5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5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5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5">
      <c r="A64">
        <v>16713</v>
      </c>
      <c r="B64" t="s">
        <v>36</v>
      </c>
      <c r="C64" t="s">
        <v>38</v>
      </c>
      <c r="D64" s="5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5">
      <c r="A65">
        <v>16185</v>
      </c>
      <c r="B65" t="s">
        <v>37</v>
      </c>
      <c r="C65" t="s">
        <v>38</v>
      </c>
      <c r="D65" s="5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5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5">
      <c r="A67">
        <v>29337</v>
      </c>
      <c r="B67" t="s">
        <v>37</v>
      </c>
      <c r="C67" t="s">
        <v>38</v>
      </c>
      <c r="D67" s="5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 "Old", IF(L67&gt;=31, "Middle Age", IF(L67&lt;31, "Adolescent", "invalid")))</f>
        <v>Old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5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5">
      <c r="A69">
        <v>25303</v>
      </c>
      <c r="B69" t="s">
        <v>37</v>
      </c>
      <c r="C69" t="s">
        <v>38</v>
      </c>
      <c r="D69" s="5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5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5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5">
      <c r="A72">
        <v>14238</v>
      </c>
      <c r="B72" t="s">
        <v>36</v>
      </c>
      <c r="C72" t="s">
        <v>38</v>
      </c>
      <c r="D72" s="5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5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5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5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5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5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5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5">
      <c r="A79">
        <v>27969</v>
      </c>
      <c r="B79" t="s">
        <v>36</v>
      </c>
      <c r="C79" t="s">
        <v>38</v>
      </c>
      <c r="D79" s="5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5">
      <c r="A80">
        <v>15752</v>
      </c>
      <c r="B80" t="s">
        <v>36</v>
      </c>
      <c r="C80" t="s">
        <v>38</v>
      </c>
      <c r="D80" s="5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5">
      <c r="A81">
        <v>27745</v>
      </c>
      <c r="B81" t="s">
        <v>37</v>
      </c>
      <c r="C81" t="s">
        <v>38</v>
      </c>
      <c r="D81" s="5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5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5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5">
      <c r="A84">
        <v>26941</v>
      </c>
      <c r="B84" t="s">
        <v>36</v>
      </c>
      <c r="C84" t="s">
        <v>38</v>
      </c>
      <c r="D84" s="5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5">
      <c r="A85">
        <v>28412</v>
      </c>
      <c r="B85" t="s">
        <v>37</v>
      </c>
      <c r="C85" t="s">
        <v>38</v>
      </c>
      <c r="D85" s="5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5">
      <c r="A86">
        <v>24485</v>
      </c>
      <c r="B86" t="s">
        <v>37</v>
      </c>
      <c r="C86" t="s">
        <v>38</v>
      </c>
      <c r="D86" s="5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5">
      <c r="A87">
        <v>16514</v>
      </c>
      <c r="B87" t="s">
        <v>37</v>
      </c>
      <c r="C87" t="s">
        <v>38</v>
      </c>
      <c r="D87" s="5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5">
      <c r="A88">
        <v>17191</v>
      </c>
      <c r="B88" t="s">
        <v>37</v>
      </c>
      <c r="C88" t="s">
        <v>38</v>
      </c>
      <c r="D88" s="5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5">
      <c r="A89">
        <v>19608</v>
      </c>
      <c r="B89" t="s">
        <v>36</v>
      </c>
      <c r="C89" t="s">
        <v>38</v>
      </c>
      <c r="D89" s="5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5">
      <c r="A90">
        <v>24119</v>
      </c>
      <c r="B90" t="s">
        <v>37</v>
      </c>
      <c r="C90" t="s">
        <v>38</v>
      </c>
      <c r="D90" s="5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5">
      <c r="A91">
        <v>25458</v>
      </c>
      <c r="B91" t="s">
        <v>36</v>
      </c>
      <c r="C91" t="s">
        <v>38</v>
      </c>
      <c r="D91" s="5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5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5">
      <c r="A93">
        <v>28436</v>
      </c>
      <c r="B93" t="s">
        <v>37</v>
      </c>
      <c r="C93" t="s">
        <v>38</v>
      </c>
      <c r="D93" s="5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5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5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5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5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5">
      <c r="A98">
        <v>12507</v>
      </c>
      <c r="B98" t="s">
        <v>36</v>
      </c>
      <c r="C98" t="s">
        <v>38</v>
      </c>
      <c r="D98" s="5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5">
      <c r="A99">
        <v>23940</v>
      </c>
      <c r="B99" t="s">
        <v>36</v>
      </c>
      <c r="C99" t="s">
        <v>38</v>
      </c>
      <c r="D99" s="5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5">
      <c r="A100">
        <v>19441</v>
      </c>
      <c r="B100" t="s">
        <v>36</v>
      </c>
      <c r="C100" t="s">
        <v>38</v>
      </c>
      <c r="D100" s="5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5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5">
      <c r="A102">
        <v>12274</v>
      </c>
      <c r="B102" t="s">
        <v>37</v>
      </c>
      <c r="C102" t="s">
        <v>38</v>
      </c>
      <c r="D102" s="5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5">
      <c r="A103">
        <v>20236</v>
      </c>
      <c r="B103" t="s">
        <v>37</v>
      </c>
      <c r="C103" t="s">
        <v>38</v>
      </c>
      <c r="D103" s="5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5">
      <c r="A104">
        <v>24149</v>
      </c>
      <c r="B104" t="s">
        <v>36</v>
      </c>
      <c r="C104" t="s">
        <v>38</v>
      </c>
      <c r="D104" s="5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5">
      <c r="A105">
        <v>26139</v>
      </c>
      <c r="B105" t="s">
        <v>37</v>
      </c>
      <c r="C105" t="s">
        <v>38</v>
      </c>
      <c r="D105" s="5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5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5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5">
      <c r="A108">
        <v>20430</v>
      </c>
      <c r="B108" t="s">
        <v>36</v>
      </c>
      <c r="C108" t="s">
        <v>38</v>
      </c>
      <c r="D108" s="5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5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5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5">
      <c r="A111">
        <v>28395</v>
      </c>
      <c r="B111" t="s">
        <v>37</v>
      </c>
      <c r="C111" t="s">
        <v>38</v>
      </c>
      <c r="D111" s="5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5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5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5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5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5">
      <c r="A116">
        <v>15030</v>
      </c>
      <c r="B116" t="s">
        <v>36</v>
      </c>
      <c r="C116" t="s">
        <v>38</v>
      </c>
      <c r="D116" s="5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5">
      <c r="A117">
        <v>24140</v>
      </c>
      <c r="B117" t="s">
        <v>37</v>
      </c>
      <c r="C117" t="s">
        <v>38</v>
      </c>
      <c r="D117" s="5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5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5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5">
      <c r="A120">
        <v>19914</v>
      </c>
      <c r="B120" t="s">
        <v>36</v>
      </c>
      <c r="C120" t="s">
        <v>38</v>
      </c>
      <c r="D120" s="5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5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5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5">
      <c r="A123">
        <v>15922</v>
      </c>
      <c r="B123" t="s">
        <v>36</v>
      </c>
      <c r="C123" t="s">
        <v>38</v>
      </c>
      <c r="D123" s="5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5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5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5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5">
      <c r="A127">
        <v>29301</v>
      </c>
      <c r="B127" t="s">
        <v>36</v>
      </c>
      <c r="C127" t="s">
        <v>38</v>
      </c>
      <c r="D127" s="5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5">
      <c r="A128">
        <v>12716</v>
      </c>
      <c r="B128" t="s">
        <v>37</v>
      </c>
      <c r="C128" t="s">
        <v>38</v>
      </c>
      <c r="D128" s="5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5">
      <c r="A129">
        <v>12472</v>
      </c>
      <c r="B129" t="s">
        <v>36</v>
      </c>
      <c r="C129" t="s">
        <v>38</v>
      </c>
      <c r="D129" s="5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5">
      <c r="A130">
        <v>20970</v>
      </c>
      <c r="B130" t="s">
        <v>37</v>
      </c>
      <c r="C130" t="s">
        <v>38</v>
      </c>
      <c r="D130" s="5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5">
      <c r="A131">
        <v>26818</v>
      </c>
      <c r="B131" t="s">
        <v>37</v>
      </c>
      <c r="C131" t="s">
        <v>38</v>
      </c>
      <c r="D131" s="5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 "Old", IF(L131&gt;=31, "Middle Age", IF(L131&lt;31, "Adolescent", "invalid")))</f>
        <v>Middle Age</v>
      </c>
      <c r="N131" t="s">
        <v>15</v>
      </c>
    </row>
    <row r="132" spans="1:14" x14ac:dyDescent="0.35">
      <c r="A132">
        <v>12993</v>
      </c>
      <c r="B132" t="s">
        <v>36</v>
      </c>
      <c r="C132" t="s">
        <v>38</v>
      </c>
      <c r="D132" s="5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5">
      <c r="A133">
        <v>14192</v>
      </c>
      <c r="B133" t="s">
        <v>36</v>
      </c>
      <c r="C133" t="s">
        <v>38</v>
      </c>
      <c r="D133" s="5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5">
      <c r="A134">
        <v>19477</v>
      </c>
      <c r="B134" t="s">
        <v>36</v>
      </c>
      <c r="C134" t="s">
        <v>38</v>
      </c>
      <c r="D134" s="5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5">
      <c r="A135">
        <v>26796</v>
      </c>
      <c r="B135" t="s">
        <v>37</v>
      </c>
      <c r="C135" t="s">
        <v>38</v>
      </c>
      <c r="D135" s="5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5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5">
      <c r="A137">
        <v>12234</v>
      </c>
      <c r="B137" t="s">
        <v>36</v>
      </c>
      <c r="C137" t="s">
        <v>38</v>
      </c>
      <c r="D137" s="5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5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5">
      <c r="A139">
        <v>17994</v>
      </c>
      <c r="B139" t="s">
        <v>37</v>
      </c>
      <c r="C139" t="s">
        <v>38</v>
      </c>
      <c r="D139" s="5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5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5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5">
      <c r="A142">
        <v>22500</v>
      </c>
      <c r="B142" t="s">
        <v>37</v>
      </c>
      <c r="C142" t="s">
        <v>38</v>
      </c>
      <c r="D142" s="5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5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5">
      <c r="A144">
        <v>14832</v>
      </c>
      <c r="B144" t="s">
        <v>36</v>
      </c>
      <c r="C144" t="s">
        <v>38</v>
      </c>
      <c r="D144" s="5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5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5">
      <c r="A146">
        <v>20877</v>
      </c>
      <c r="B146" t="s">
        <v>37</v>
      </c>
      <c r="C146" t="s">
        <v>38</v>
      </c>
      <c r="D146" s="5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5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5">
      <c r="A148">
        <v>22464</v>
      </c>
      <c r="B148" t="s">
        <v>36</v>
      </c>
      <c r="C148" t="s">
        <v>38</v>
      </c>
      <c r="D148" s="5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5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5">
      <c r="A150">
        <v>19675</v>
      </c>
      <c r="B150" t="s">
        <v>36</v>
      </c>
      <c r="C150" t="s">
        <v>38</v>
      </c>
      <c r="D150" s="5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5">
      <c r="A151">
        <v>12728</v>
      </c>
      <c r="B151" t="s">
        <v>37</v>
      </c>
      <c r="C151" t="s">
        <v>38</v>
      </c>
      <c r="D151" s="5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5">
      <c r="A152">
        <v>26154</v>
      </c>
      <c r="B152" t="s">
        <v>36</v>
      </c>
      <c r="C152" t="s">
        <v>38</v>
      </c>
      <c r="D152" s="5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5">
      <c r="A153">
        <v>29117</v>
      </c>
      <c r="B153" t="s">
        <v>37</v>
      </c>
      <c r="C153" t="s">
        <v>38</v>
      </c>
      <c r="D153" s="5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5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5">
      <c r="A155">
        <v>25058</v>
      </c>
      <c r="B155" t="s">
        <v>36</v>
      </c>
      <c r="C155" t="s">
        <v>38</v>
      </c>
      <c r="D155" s="5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5">
      <c r="A156">
        <v>23426</v>
      </c>
      <c r="B156" t="s">
        <v>37</v>
      </c>
      <c r="C156" t="s">
        <v>38</v>
      </c>
      <c r="D156" s="5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5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5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5">
      <c r="A159">
        <v>23979</v>
      </c>
      <c r="B159" t="s">
        <v>37</v>
      </c>
      <c r="C159" t="s">
        <v>38</v>
      </c>
      <c r="D159" s="5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5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5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5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5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5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5">
      <c r="A165">
        <v>24279</v>
      </c>
      <c r="B165" t="s">
        <v>37</v>
      </c>
      <c r="C165" t="s">
        <v>38</v>
      </c>
      <c r="D165" s="5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5">
      <c r="A166">
        <v>22402</v>
      </c>
      <c r="B166" t="s">
        <v>36</v>
      </c>
      <c r="C166" t="s">
        <v>38</v>
      </c>
      <c r="D166" s="5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5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5">
      <c r="A168">
        <v>26757</v>
      </c>
      <c r="B168" t="s">
        <v>37</v>
      </c>
      <c r="C168" t="s">
        <v>38</v>
      </c>
      <c r="D168" s="5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5">
      <c r="A169">
        <v>14233</v>
      </c>
      <c r="B169" t="s">
        <v>37</v>
      </c>
      <c r="C169" t="s">
        <v>38</v>
      </c>
      <c r="D169" s="5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5">
      <c r="A170">
        <v>14058</v>
      </c>
      <c r="B170" t="s">
        <v>37</v>
      </c>
      <c r="C170" t="s">
        <v>38</v>
      </c>
      <c r="D170" s="5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5">
      <c r="A171">
        <v>12273</v>
      </c>
      <c r="B171" t="s">
        <v>36</v>
      </c>
      <c r="C171" t="s">
        <v>38</v>
      </c>
      <c r="D171" s="5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5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5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5">
      <c r="A174">
        <v>23963</v>
      </c>
      <c r="B174" t="s">
        <v>36</v>
      </c>
      <c r="C174" t="s">
        <v>38</v>
      </c>
      <c r="D174" s="5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5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5">
      <c r="A176">
        <v>19442</v>
      </c>
      <c r="B176" t="s">
        <v>37</v>
      </c>
      <c r="C176" t="s">
        <v>38</v>
      </c>
      <c r="D176" s="5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5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5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5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5">
      <c r="A180">
        <v>14191</v>
      </c>
      <c r="B180" t="s">
        <v>36</v>
      </c>
      <c r="C180" t="s">
        <v>38</v>
      </c>
      <c r="D180" s="5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5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5">
      <c r="A182">
        <v>25529</v>
      </c>
      <c r="B182" t="s">
        <v>37</v>
      </c>
      <c r="C182" t="s">
        <v>38</v>
      </c>
      <c r="D182" s="5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5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5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5">
      <c r="A185">
        <v>15265</v>
      </c>
      <c r="B185" t="s">
        <v>37</v>
      </c>
      <c r="C185" t="s">
        <v>38</v>
      </c>
      <c r="D185" s="5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5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5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5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5">
      <c r="A189">
        <v>18151</v>
      </c>
      <c r="B189" t="s">
        <v>37</v>
      </c>
      <c r="C189" t="s">
        <v>38</v>
      </c>
      <c r="D189" s="5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5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5">
      <c r="A191">
        <v>19482</v>
      </c>
      <c r="B191" t="s">
        <v>36</v>
      </c>
      <c r="C191" t="s">
        <v>38</v>
      </c>
      <c r="D191" s="5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5">
      <c r="A192">
        <v>16489</v>
      </c>
      <c r="B192" t="s">
        <v>36</v>
      </c>
      <c r="C192" t="s">
        <v>38</v>
      </c>
      <c r="D192" s="5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5">
      <c r="A193">
        <v>26944</v>
      </c>
      <c r="B193" t="s">
        <v>37</v>
      </c>
      <c r="C193" t="s">
        <v>38</v>
      </c>
      <c r="D193" s="5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5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5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 "Old", IF(L195&gt;=31, "Middle Age", IF(L195&lt;31, "Adolescent", "invalid")))</f>
        <v>Middle Age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5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5">
      <c r="A197">
        <v>25559</v>
      </c>
      <c r="B197" t="s">
        <v>37</v>
      </c>
      <c r="C197" t="s">
        <v>38</v>
      </c>
      <c r="D197" s="5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5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5">
      <c r="A199">
        <v>11147</v>
      </c>
      <c r="B199" t="s">
        <v>36</v>
      </c>
      <c r="C199" t="s">
        <v>38</v>
      </c>
      <c r="D199" s="5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5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5">
      <c r="A201">
        <v>11453</v>
      </c>
      <c r="B201" t="s">
        <v>37</v>
      </c>
      <c r="C201" t="s">
        <v>38</v>
      </c>
      <c r="D201" s="5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5">
      <c r="A202">
        <v>24584</v>
      </c>
      <c r="B202" t="s">
        <v>37</v>
      </c>
      <c r="C202" t="s">
        <v>38</v>
      </c>
      <c r="D202" s="5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5">
      <c r="A203">
        <v>12585</v>
      </c>
      <c r="B203" t="s">
        <v>36</v>
      </c>
      <c r="C203" t="s">
        <v>38</v>
      </c>
      <c r="D203" s="5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5">
      <c r="A204">
        <v>18626</v>
      </c>
      <c r="B204" t="s">
        <v>37</v>
      </c>
      <c r="C204" t="s">
        <v>38</v>
      </c>
      <c r="D204" s="5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5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5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5">
      <c r="A207">
        <v>15657</v>
      </c>
      <c r="B207" t="s">
        <v>36</v>
      </c>
      <c r="C207" t="s">
        <v>38</v>
      </c>
      <c r="D207" s="5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5">
      <c r="A208">
        <v>11415</v>
      </c>
      <c r="B208" t="s">
        <v>37</v>
      </c>
      <c r="C208" t="s">
        <v>38</v>
      </c>
      <c r="D208" s="5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5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5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5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5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5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5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5">
      <c r="A215">
        <v>11451</v>
      </c>
      <c r="B215" t="s">
        <v>37</v>
      </c>
      <c r="C215" t="s">
        <v>38</v>
      </c>
      <c r="D215" s="5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5">
      <c r="A216">
        <v>25553</v>
      </c>
      <c r="B216" t="s">
        <v>36</v>
      </c>
      <c r="C216" t="s">
        <v>38</v>
      </c>
      <c r="D216" s="5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5">
      <c r="A217">
        <v>27951</v>
      </c>
      <c r="B217" t="s">
        <v>37</v>
      </c>
      <c r="C217" t="s">
        <v>38</v>
      </c>
      <c r="D217" s="5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5">
      <c r="A218">
        <v>25026</v>
      </c>
      <c r="B218" t="s">
        <v>36</v>
      </c>
      <c r="C218" t="s">
        <v>38</v>
      </c>
      <c r="D218" s="5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5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5">
      <c r="A220">
        <v>16043</v>
      </c>
      <c r="B220" t="s">
        <v>37</v>
      </c>
      <c r="C220" t="s">
        <v>38</v>
      </c>
      <c r="D220" s="5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5">
      <c r="A221">
        <v>22399</v>
      </c>
      <c r="B221" t="s">
        <v>37</v>
      </c>
      <c r="C221" t="s">
        <v>38</v>
      </c>
      <c r="D221" s="5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5">
      <c r="A222">
        <v>27696</v>
      </c>
      <c r="B222" t="s">
        <v>36</v>
      </c>
      <c r="C222" t="s">
        <v>38</v>
      </c>
      <c r="D222" s="5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5">
      <c r="A223">
        <v>25313</v>
      </c>
      <c r="B223" t="s">
        <v>37</v>
      </c>
      <c r="C223" t="s">
        <v>38</v>
      </c>
      <c r="D223" s="5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5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5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5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5">
      <c r="A227">
        <v>14135</v>
      </c>
      <c r="B227" t="s">
        <v>36</v>
      </c>
      <c r="C227" t="s">
        <v>38</v>
      </c>
      <c r="D227" s="5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5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5">
      <c r="A229">
        <v>26849</v>
      </c>
      <c r="B229" t="s">
        <v>36</v>
      </c>
      <c r="C229" t="s">
        <v>38</v>
      </c>
      <c r="D229" s="5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5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5">
      <c r="A231">
        <v>28915</v>
      </c>
      <c r="B231" t="s">
        <v>37</v>
      </c>
      <c r="C231" t="s">
        <v>38</v>
      </c>
      <c r="D231" s="5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5">
      <c r="A232">
        <v>22830</v>
      </c>
      <c r="B232" t="s">
        <v>36</v>
      </c>
      <c r="C232" t="s">
        <v>38</v>
      </c>
      <c r="D232" s="5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5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5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5">
      <c r="A235">
        <v>24174</v>
      </c>
      <c r="B235" t="s">
        <v>36</v>
      </c>
      <c r="C235" t="s">
        <v>38</v>
      </c>
      <c r="D235" s="5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5">
      <c r="A236">
        <v>24611</v>
      </c>
      <c r="B236" t="s">
        <v>37</v>
      </c>
      <c r="C236" t="s">
        <v>38</v>
      </c>
      <c r="D236" s="5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5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5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5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5">
      <c r="A240">
        <v>22006</v>
      </c>
      <c r="B240" t="s">
        <v>36</v>
      </c>
      <c r="C240" t="s">
        <v>38</v>
      </c>
      <c r="D240" s="5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5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5">
      <c r="A242">
        <v>17702</v>
      </c>
      <c r="B242" t="s">
        <v>36</v>
      </c>
      <c r="C242" t="s">
        <v>38</v>
      </c>
      <c r="D242" s="5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5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5">
      <c r="A244">
        <v>23908</v>
      </c>
      <c r="B244" t="s">
        <v>37</v>
      </c>
      <c r="C244" t="s">
        <v>38</v>
      </c>
      <c r="D244" s="5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5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5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5">
      <c r="A247">
        <v>18494</v>
      </c>
      <c r="B247" t="s">
        <v>36</v>
      </c>
      <c r="C247" t="s">
        <v>38</v>
      </c>
      <c r="D247" s="5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5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5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5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5">
      <c r="A251">
        <v>23432</v>
      </c>
      <c r="B251" t="s">
        <v>37</v>
      </c>
      <c r="C251" t="s">
        <v>38</v>
      </c>
      <c r="D251" s="5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5">
      <c r="A252">
        <v>22931</v>
      </c>
      <c r="B252" t="s">
        <v>36</v>
      </c>
      <c r="C252" t="s">
        <v>38</v>
      </c>
      <c r="D252" s="5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5">
      <c r="A253">
        <v>18172</v>
      </c>
      <c r="B253" t="s">
        <v>36</v>
      </c>
      <c r="C253" t="s">
        <v>38</v>
      </c>
      <c r="D253" s="5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5">
      <c r="A254">
        <v>12666</v>
      </c>
      <c r="B254" t="s">
        <v>37</v>
      </c>
      <c r="C254" t="s">
        <v>38</v>
      </c>
      <c r="D254" s="5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5">
      <c r="A255">
        <v>20598</v>
      </c>
      <c r="B255" t="s">
        <v>36</v>
      </c>
      <c r="C255" t="s">
        <v>38</v>
      </c>
      <c r="D255" s="5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5">
      <c r="A256">
        <v>21375</v>
      </c>
      <c r="B256" t="s">
        <v>37</v>
      </c>
      <c r="C256" t="s">
        <v>38</v>
      </c>
      <c r="D256" s="5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5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5">
      <c r="A258">
        <v>21738</v>
      </c>
      <c r="B258" t="s">
        <v>36</v>
      </c>
      <c r="C258" t="s">
        <v>38</v>
      </c>
      <c r="D258" s="5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5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 "Old", IF(L259&gt;=31, "Middle Age", IF(L259&lt;31, "Adolescent", "invalid")))</f>
        <v>Middle Age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5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5">
      <c r="A261">
        <v>12705</v>
      </c>
      <c r="B261" t="s">
        <v>36</v>
      </c>
      <c r="C261" t="s">
        <v>38</v>
      </c>
      <c r="D261" s="5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5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5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5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5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5">
      <c r="A266">
        <v>17964</v>
      </c>
      <c r="B266" t="s">
        <v>36</v>
      </c>
      <c r="C266" t="s">
        <v>38</v>
      </c>
      <c r="D266" s="5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5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5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5">
      <c r="A269">
        <v>13133</v>
      </c>
      <c r="B269" t="s">
        <v>37</v>
      </c>
      <c r="C269" t="s">
        <v>38</v>
      </c>
      <c r="D269" s="5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5">
      <c r="A270">
        <v>19626</v>
      </c>
      <c r="B270" t="s">
        <v>36</v>
      </c>
      <c r="C270" t="s">
        <v>38</v>
      </c>
      <c r="D270" s="5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5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5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5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5">
      <c r="A274">
        <v>24061</v>
      </c>
      <c r="B274" t="s">
        <v>36</v>
      </c>
      <c r="C274" t="s">
        <v>38</v>
      </c>
      <c r="D274" s="5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5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5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5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5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5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5">
      <c r="A280">
        <v>20625</v>
      </c>
      <c r="B280" t="s">
        <v>36</v>
      </c>
      <c r="C280" t="s">
        <v>38</v>
      </c>
      <c r="D280" s="5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5">
      <c r="A281">
        <v>16390</v>
      </c>
      <c r="B281" t="s">
        <v>37</v>
      </c>
      <c r="C281" t="s">
        <v>38</v>
      </c>
      <c r="D281" s="5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5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5">
      <c r="A283">
        <v>12629</v>
      </c>
      <c r="B283" t="s">
        <v>37</v>
      </c>
      <c r="C283" t="s">
        <v>38</v>
      </c>
      <c r="D283" s="5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5">
      <c r="A284">
        <v>14696</v>
      </c>
      <c r="B284" t="s">
        <v>37</v>
      </c>
      <c r="C284" t="s">
        <v>38</v>
      </c>
      <c r="D284" s="5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5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5">
      <c r="A286">
        <v>14544</v>
      </c>
      <c r="B286" t="s">
        <v>37</v>
      </c>
      <c r="C286" t="s">
        <v>38</v>
      </c>
      <c r="D286" s="5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5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5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5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5">
      <c r="A290">
        <v>15758</v>
      </c>
      <c r="B290" t="s">
        <v>36</v>
      </c>
      <c r="C290" t="s">
        <v>38</v>
      </c>
      <c r="D290" s="5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5">
      <c r="A291">
        <v>29094</v>
      </c>
      <c r="B291" t="s">
        <v>36</v>
      </c>
      <c r="C291" t="s">
        <v>38</v>
      </c>
      <c r="D291" s="5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5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5">
      <c r="A293">
        <v>16406</v>
      </c>
      <c r="B293" t="s">
        <v>36</v>
      </c>
      <c r="C293" t="s">
        <v>38</v>
      </c>
      <c r="D293" s="5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5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5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5">
      <c r="A296">
        <v>20851</v>
      </c>
      <c r="B296" t="s">
        <v>37</v>
      </c>
      <c r="C296" t="s">
        <v>38</v>
      </c>
      <c r="D296" s="5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5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5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5">
      <c r="A299">
        <v>11896</v>
      </c>
      <c r="B299" t="s">
        <v>36</v>
      </c>
      <c r="C299" t="s">
        <v>38</v>
      </c>
      <c r="D299" s="5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5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5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5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5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5">
      <c r="A304">
        <v>26928</v>
      </c>
      <c r="B304" t="s">
        <v>37</v>
      </c>
      <c r="C304" t="s">
        <v>38</v>
      </c>
      <c r="D304" s="5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5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5">
      <c r="A306">
        <v>28207</v>
      </c>
      <c r="B306" t="s">
        <v>36</v>
      </c>
      <c r="C306" t="s">
        <v>38</v>
      </c>
      <c r="D306" s="5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5">
      <c r="A307">
        <v>25923</v>
      </c>
      <c r="B307" t="s">
        <v>37</v>
      </c>
      <c r="C307" t="s">
        <v>38</v>
      </c>
      <c r="D307" s="5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5">
      <c r="A308">
        <v>11000</v>
      </c>
      <c r="B308" t="s">
        <v>36</v>
      </c>
      <c r="C308" t="s">
        <v>38</v>
      </c>
      <c r="D308" s="5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5">
      <c r="A309">
        <v>20974</v>
      </c>
      <c r="B309" t="s">
        <v>36</v>
      </c>
      <c r="C309" t="s">
        <v>38</v>
      </c>
      <c r="D309" s="5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5">
      <c r="A310">
        <v>28758</v>
      </c>
      <c r="B310" t="s">
        <v>36</v>
      </c>
      <c r="C310" t="s">
        <v>38</v>
      </c>
      <c r="D310" s="5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5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5">
      <c r="A312">
        <v>17522</v>
      </c>
      <c r="B312" t="s">
        <v>36</v>
      </c>
      <c r="C312" t="s">
        <v>38</v>
      </c>
      <c r="D312" s="5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5">
      <c r="A313">
        <v>21207</v>
      </c>
      <c r="B313" t="s">
        <v>36</v>
      </c>
      <c r="C313" t="s">
        <v>38</v>
      </c>
      <c r="D313" s="5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5">
      <c r="A314">
        <v>28102</v>
      </c>
      <c r="B314" t="s">
        <v>36</v>
      </c>
      <c r="C314" t="s">
        <v>38</v>
      </c>
      <c r="D314" s="5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5">
      <c r="A315">
        <v>23105</v>
      </c>
      <c r="B315" t="s">
        <v>37</v>
      </c>
      <c r="C315" t="s">
        <v>38</v>
      </c>
      <c r="D315" s="5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5">
      <c r="A316">
        <v>18740</v>
      </c>
      <c r="B316" t="s">
        <v>36</v>
      </c>
      <c r="C316" t="s">
        <v>38</v>
      </c>
      <c r="D316" s="5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5">
      <c r="A317">
        <v>21213</v>
      </c>
      <c r="B317" t="s">
        <v>37</v>
      </c>
      <c r="C317" t="s">
        <v>38</v>
      </c>
      <c r="D317" s="5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5">
      <c r="A318">
        <v>17352</v>
      </c>
      <c r="B318" t="s">
        <v>36</v>
      </c>
      <c r="C318" t="s">
        <v>38</v>
      </c>
      <c r="D318" s="5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5">
      <c r="A319">
        <v>14154</v>
      </c>
      <c r="B319" t="s">
        <v>36</v>
      </c>
      <c r="C319" t="s">
        <v>38</v>
      </c>
      <c r="D319" s="5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5">
      <c r="A320">
        <v>19066</v>
      </c>
      <c r="B320" t="s">
        <v>36</v>
      </c>
      <c r="C320" t="s">
        <v>38</v>
      </c>
      <c r="D320" s="5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5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5">
      <c r="A322">
        <v>20228</v>
      </c>
      <c r="B322" t="s">
        <v>36</v>
      </c>
      <c r="C322" t="s">
        <v>38</v>
      </c>
      <c r="D322" s="5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5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 "Old", IF(L323&gt;=31, "Middle Age", IF(L323&lt;31, "Adolescent", "invalid")))</f>
        <v>Middle Age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5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5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5">
      <c r="A326">
        <v>22930</v>
      </c>
      <c r="B326" t="s">
        <v>36</v>
      </c>
      <c r="C326" t="s">
        <v>38</v>
      </c>
      <c r="D326" s="5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5">
      <c r="A327">
        <v>23780</v>
      </c>
      <c r="B327" t="s">
        <v>37</v>
      </c>
      <c r="C327" t="s">
        <v>38</v>
      </c>
      <c r="D327" s="5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5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5">
      <c r="A329">
        <v>28379</v>
      </c>
      <c r="B329" t="s">
        <v>36</v>
      </c>
      <c r="C329" t="s">
        <v>38</v>
      </c>
      <c r="D329" s="5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5">
      <c r="A330">
        <v>14865</v>
      </c>
      <c r="B330" t="s">
        <v>37</v>
      </c>
      <c r="C330" t="s">
        <v>38</v>
      </c>
      <c r="D330" s="5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5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5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5">
      <c r="A333">
        <v>19508</v>
      </c>
      <c r="B333" t="s">
        <v>36</v>
      </c>
      <c r="C333" t="s">
        <v>38</v>
      </c>
      <c r="D333" s="5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5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5">
      <c r="A335">
        <v>18160</v>
      </c>
      <c r="B335" t="s">
        <v>36</v>
      </c>
      <c r="C335" t="s">
        <v>38</v>
      </c>
      <c r="D335" s="5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5">
      <c r="A336">
        <v>25241</v>
      </c>
      <c r="B336" t="s">
        <v>36</v>
      </c>
      <c r="C336" t="s">
        <v>38</v>
      </c>
      <c r="D336" s="5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5">
      <c r="A337">
        <v>24369</v>
      </c>
      <c r="B337" t="s">
        <v>36</v>
      </c>
      <c r="C337" t="s">
        <v>38</v>
      </c>
      <c r="D337" s="5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5">
      <c r="A338">
        <v>27165</v>
      </c>
      <c r="B338" t="s">
        <v>37</v>
      </c>
      <c r="C338" t="s">
        <v>38</v>
      </c>
      <c r="D338" s="5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5">
      <c r="A339">
        <v>29424</v>
      </c>
      <c r="B339" t="s">
        <v>36</v>
      </c>
      <c r="C339" t="s">
        <v>38</v>
      </c>
      <c r="D339" s="5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5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5">
      <c r="A341">
        <v>14554</v>
      </c>
      <c r="B341" t="s">
        <v>36</v>
      </c>
      <c r="C341" t="s">
        <v>38</v>
      </c>
      <c r="D341" s="5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5">
      <c r="A342">
        <v>16468</v>
      </c>
      <c r="B342" t="s">
        <v>37</v>
      </c>
      <c r="C342" t="s">
        <v>38</v>
      </c>
      <c r="D342" s="5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5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5">
      <c r="A344">
        <v>19183</v>
      </c>
      <c r="B344" t="s">
        <v>37</v>
      </c>
      <c r="C344" t="s">
        <v>38</v>
      </c>
      <c r="D344" s="5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5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5">
      <c r="A346">
        <v>17848</v>
      </c>
      <c r="B346" t="s">
        <v>37</v>
      </c>
      <c r="C346" t="s">
        <v>38</v>
      </c>
      <c r="D346" s="5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5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5">
      <c r="A348">
        <v>25651</v>
      </c>
      <c r="B348" t="s">
        <v>36</v>
      </c>
      <c r="C348" t="s">
        <v>38</v>
      </c>
      <c r="D348" s="5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5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5">
      <c r="A350">
        <v>23915</v>
      </c>
      <c r="B350" t="s">
        <v>36</v>
      </c>
      <c r="C350" t="s">
        <v>38</v>
      </c>
      <c r="D350" s="5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5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5">
      <c r="A352">
        <v>27878</v>
      </c>
      <c r="B352" t="s">
        <v>37</v>
      </c>
      <c r="C352" t="s">
        <v>38</v>
      </c>
      <c r="D352" s="5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5">
      <c r="A353">
        <v>13572</v>
      </c>
      <c r="B353" t="s">
        <v>37</v>
      </c>
      <c r="C353" t="s">
        <v>38</v>
      </c>
      <c r="D353" s="5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5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5">
      <c r="A355">
        <v>26354</v>
      </c>
      <c r="B355" t="s">
        <v>37</v>
      </c>
      <c r="C355" t="s">
        <v>38</v>
      </c>
      <c r="D355" s="5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5">
      <c r="A356">
        <v>14785</v>
      </c>
      <c r="B356" t="s">
        <v>37</v>
      </c>
      <c r="C356" t="s">
        <v>38</v>
      </c>
      <c r="D356" s="5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5">
      <c r="A357">
        <v>17238</v>
      </c>
      <c r="B357" t="s">
        <v>37</v>
      </c>
      <c r="C357" t="s">
        <v>38</v>
      </c>
      <c r="D357" s="5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5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5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5">
      <c r="A360">
        <v>12332</v>
      </c>
      <c r="B360" t="s">
        <v>36</v>
      </c>
      <c r="C360" t="s">
        <v>38</v>
      </c>
      <c r="D360" s="5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5">
      <c r="A361">
        <v>17230</v>
      </c>
      <c r="B361" t="s">
        <v>36</v>
      </c>
      <c r="C361" t="s">
        <v>38</v>
      </c>
      <c r="D361" s="5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5">
      <c r="A362">
        <v>13082</v>
      </c>
      <c r="B362" t="s">
        <v>37</v>
      </c>
      <c r="C362" t="s">
        <v>38</v>
      </c>
      <c r="D362" s="5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5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5">
      <c r="A364">
        <v>13687</v>
      </c>
      <c r="B364" t="s">
        <v>36</v>
      </c>
      <c r="C364" t="s">
        <v>38</v>
      </c>
      <c r="D364" s="5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5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5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5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5">
      <c r="A368">
        <v>17310</v>
      </c>
      <c r="B368" t="s">
        <v>36</v>
      </c>
      <c r="C368" t="s">
        <v>38</v>
      </c>
      <c r="D368" s="5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5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5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5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5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5">
      <c r="A373">
        <v>22918</v>
      </c>
      <c r="B373" t="s">
        <v>37</v>
      </c>
      <c r="C373" t="s">
        <v>38</v>
      </c>
      <c r="D373" s="5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5">
      <c r="A374">
        <v>12510</v>
      </c>
      <c r="B374" t="s">
        <v>36</v>
      </c>
      <c r="C374" t="s">
        <v>38</v>
      </c>
      <c r="D374" s="5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5">
      <c r="A375">
        <v>25512</v>
      </c>
      <c r="B375" t="s">
        <v>37</v>
      </c>
      <c r="C375" t="s">
        <v>38</v>
      </c>
      <c r="D375" s="5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5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5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5">
      <c r="A378">
        <v>20977</v>
      </c>
      <c r="B378" t="s">
        <v>36</v>
      </c>
      <c r="C378" t="s">
        <v>38</v>
      </c>
      <c r="D378" s="5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5">
      <c r="A379">
        <v>18140</v>
      </c>
      <c r="B379" t="s">
        <v>36</v>
      </c>
      <c r="C379" t="s">
        <v>38</v>
      </c>
      <c r="D379" s="5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5">
      <c r="A380">
        <v>20417</v>
      </c>
      <c r="B380" t="s">
        <v>36</v>
      </c>
      <c r="C380" t="s">
        <v>38</v>
      </c>
      <c r="D380" s="5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5">
      <c r="A381">
        <v>18267</v>
      </c>
      <c r="B381" t="s">
        <v>36</v>
      </c>
      <c r="C381" t="s">
        <v>38</v>
      </c>
      <c r="D381" s="5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5">
      <c r="A382">
        <v>13620</v>
      </c>
      <c r="B382" t="s">
        <v>37</v>
      </c>
      <c r="C382" t="s">
        <v>38</v>
      </c>
      <c r="D382" s="5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5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5">
      <c r="A384">
        <v>13586</v>
      </c>
      <c r="B384" t="s">
        <v>36</v>
      </c>
      <c r="C384" t="s">
        <v>38</v>
      </c>
      <c r="D384" s="5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5">
      <c r="A385">
        <v>17978</v>
      </c>
      <c r="B385" t="s">
        <v>36</v>
      </c>
      <c r="C385" t="s">
        <v>38</v>
      </c>
      <c r="D385" s="5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5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5">
      <c r="A387">
        <v>18018</v>
      </c>
      <c r="B387" t="s">
        <v>37</v>
      </c>
      <c r="C387" t="s">
        <v>38</v>
      </c>
      <c r="D387" s="5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 "Old", IF(L387&gt;=31, "Middle Age", IF(L387&lt;31, "Adolescent", "invalid")))</f>
        <v>Middle Age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5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5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5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5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5">
      <c r="A392">
        <v>21184</v>
      </c>
      <c r="B392" t="s">
        <v>37</v>
      </c>
      <c r="C392" t="s">
        <v>38</v>
      </c>
      <c r="D392" s="5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5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5">
      <c r="A394">
        <v>24151</v>
      </c>
      <c r="B394" t="s">
        <v>37</v>
      </c>
      <c r="C394" t="s">
        <v>38</v>
      </c>
      <c r="D394" s="5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5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5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5">
      <c r="A397">
        <v>14926</v>
      </c>
      <c r="B397" t="s">
        <v>36</v>
      </c>
      <c r="C397" t="s">
        <v>38</v>
      </c>
      <c r="D397" s="5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5">
      <c r="A398">
        <v>16163</v>
      </c>
      <c r="B398" t="s">
        <v>37</v>
      </c>
      <c r="C398" t="s">
        <v>38</v>
      </c>
      <c r="D398" s="5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5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5">
      <c r="A400">
        <v>27771</v>
      </c>
      <c r="B400" t="s">
        <v>37</v>
      </c>
      <c r="C400" t="s">
        <v>38</v>
      </c>
      <c r="D400" s="5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5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5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5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5">
      <c r="A404">
        <v>22381</v>
      </c>
      <c r="B404" t="s">
        <v>36</v>
      </c>
      <c r="C404" t="s">
        <v>38</v>
      </c>
      <c r="D404" s="5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5">
      <c r="A405">
        <v>17882</v>
      </c>
      <c r="B405" t="s">
        <v>36</v>
      </c>
      <c r="C405" t="s">
        <v>38</v>
      </c>
      <c r="D405" s="5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5">
      <c r="A406">
        <v>22174</v>
      </c>
      <c r="B406" t="s">
        <v>36</v>
      </c>
      <c r="C406" t="s">
        <v>38</v>
      </c>
      <c r="D406" s="5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5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5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5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5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5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5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5">
      <c r="A413">
        <v>11116</v>
      </c>
      <c r="B413" t="s">
        <v>36</v>
      </c>
      <c r="C413" t="s">
        <v>38</v>
      </c>
      <c r="D413" s="5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5">
      <c r="A414">
        <v>20053</v>
      </c>
      <c r="B414" t="s">
        <v>37</v>
      </c>
      <c r="C414" t="s">
        <v>38</v>
      </c>
      <c r="D414" s="5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5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5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5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5">
      <c r="A418">
        <v>11897</v>
      </c>
      <c r="B418" t="s">
        <v>37</v>
      </c>
      <c r="C418" t="s">
        <v>38</v>
      </c>
      <c r="D418" s="5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5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5">
      <c r="A420">
        <v>11576</v>
      </c>
      <c r="B420" t="s">
        <v>36</v>
      </c>
      <c r="C420" t="s">
        <v>38</v>
      </c>
      <c r="D420" s="5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5">
      <c r="A421">
        <v>19255</v>
      </c>
      <c r="B421" t="s">
        <v>37</v>
      </c>
      <c r="C421" t="s">
        <v>38</v>
      </c>
      <c r="D421" s="5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5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5">
      <c r="A423">
        <v>14547</v>
      </c>
      <c r="B423" t="s">
        <v>36</v>
      </c>
      <c r="C423" t="s">
        <v>38</v>
      </c>
      <c r="D423" s="5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5">
      <c r="A424">
        <v>24901</v>
      </c>
      <c r="B424" t="s">
        <v>37</v>
      </c>
      <c r="C424" t="s">
        <v>38</v>
      </c>
      <c r="D424" s="5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5">
      <c r="A425">
        <v>27169</v>
      </c>
      <c r="B425" t="s">
        <v>37</v>
      </c>
      <c r="C425" t="s">
        <v>38</v>
      </c>
      <c r="D425" s="5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5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5">
      <c r="A427">
        <v>15822</v>
      </c>
      <c r="B427" t="s">
        <v>36</v>
      </c>
      <c r="C427" t="s">
        <v>38</v>
      </c>
      <c r="D427" s="5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5">
      <c r="A428">
        <v>19389</v>
      </c>
      <c r="B428" t="s">
        <v>37</v>
      </c>
      <c r="C428" t="s">
        <v>38</v>
      </c>
      <c r="D428" s="5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5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5">
      <c r="A430">
        <v>22204</v>
      </c>
      <c r="B430" t="s">
        <v>36</v>
      </c>
      <c r="C430" t="s">
        <v>38</v>
      </c>
      <c r="D430" s="5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5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5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5">
      <c r="A433">
        <v>28488</v>
      </c>
      <c r="B433" t="s">
        <v>37</v>
      </c>
      <c r="C433" t="s">
        <v>38</v>
      </c>
      <c r="D433" s="5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5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5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5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5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5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5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5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5">
      <c r="A441">
        <v>19618</v>
      </c>
      <c r="B441" t="s">
        <v>36</v>
      </c>
      <c r="C441" t="s">
        <v>38</v>
      </c>
      <c r="D441" s="5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5">
      <c r="A442">
        <v>21561</v>
      </c>
      <c r="B442" t="s">
        <v>37</v>
      </c>
      <c r="C442" t="s">
        <v>38</v>
      </c>
      <c r="D442" s="5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5">
      <c r="A443">
        <v>11061</v>
      </c>
      <c r="B443" t="s">
        <v>36</v>
      </c>
      <c r="C443" t="s">
        <v>38</v>
      </c>
      <c r="D443" s="5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5">
      <c r="A444">
        <v>26651</v>
      </c>
      <c r="B444" t="s">
        <v>37</v>
      </c>
      <c r="C444" t="s">
        <v>38</v>
      </c>
      <c r="D444" s="5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5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5">
      <c r="A446">
        <v>12731</v>
      </c>
      <c r="B446" t="s">
        <v>37</v>
      </c>
      <c r="C446" t="s">
        <v>38</v>
      </c>
      <c r="D446" s="5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5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5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5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5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5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 "Old", IF(L451&gt;=31, "Middle Age", IF(L451&lt;31, "Adolescent", "invalid")))</f>
        <v>Middle Age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5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5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5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5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5">
      <c r="A456">
        <v>12389</v>
      </c>
      <c r="B456" t="s">
        <v>37</v>
      </c>
      <c r="C456" t="s">
        <v>38</v>
      </c>
      <c r="D456" s="5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5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5">
      <c r="A458">
        <v>26385</v>
      </c>
      <c r="B458" t="s">
        <v>37</v>
      </c>
      <c r="C458" t="s">
        <v>38</v>
      </c>
      <c r="D458" s="5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5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5">
      <c r="A460">
        <v>21560</v>
      </c>
      <c r="B460" t="s">
        <v>36</v>
      </c>
      <c r="C460" t="s">
        <v>38</v>
      </c>
      <c r="D460" s="5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5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5">
      <c r="A462">
        <v>13662</v>
      </c>
      <c r="B462" t="s">
        <v>37</v>
      </c>
      <c r="C462" t="s">
        <v>38</v>
      </c>
      <c r="D462" s="5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5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5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5">
      <c r="A465">
        <v>19331</v>
      </c>
      <c r="B465" t="s">
        <v>37</v>
      </c>
      <c r="C465" t="s">
        <v>38</v>
      </c>
      <c r="D465" s="5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5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5">
      <c r="A467">
        <v>11149</v>
      </c>
      <c r="B467" t="s">
        <v>36</v>
      </c>
      <c r="C467" t="s">
        <v>38</v>
      </c>
      <c r="D467" s="5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5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5">
      <c r="A469">
        <v>24305</v>
      </c>
      <c r="B469" t="s">
        <v>37</v>
      </c>
      <c r="C469" t="s">
        <v>38</v>
      </c>
      <c r="D469" s="5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5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5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5">
      <c r="A472">
        <v>15612</v>
      </c>
      <c r="B472" t="s">
        <v>37</v>
      </c>
      <c r="C472" t="s">
        <v>38</v>
      </c>
      <c r="D472" s="5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5">
      <c r="A473">
        <v>28323</v>
      </c>
      <c r="B473" t="s">
        <v>37</v>
      </c>
      <c r="C473" t="s">
        <v>38</v>
      </c>
      <c r="D473" s="5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5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5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5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5">
      <c r="A477">
        <v>19748</v>
      </c>
      <c r="B477" t="s">
        <v>36</v>
      </c>
      <c r="C477" t="s">
        <v>38</v>
      </c>
      <c r="D477" s="5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5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5">
      <c r="A479">
        <v>14032</v>
      </c>
      <c r="B479" t="s">
        <v>36</v>
      </c>
      <c r="C479" t="s">
        <v>38</v>
      </c>
      <c r="D479" s="5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5">
      <c r="A480">
        <v>22610</v>
      </c>
      <c r="B480" t="s">
        <v>36</v>
      </c>
      <c r="C480" t="s">
        <v>38</v>
      </c>
      <c r="D480" s="5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5">
      <c r="A481">
        <v>26984</v>
      </c>
      <c r="B481" t="s">
        <v>36</v>
      </c>
      <c r="C481" t="s">
        <v>38</v>
      </c>
      <c r="D481" s="5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5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5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5">
      <c r="A484">
        <v>28521</v>
      </c>
      <c r="B484" t="s">
        <v>37</v>
      </c>
      <c r="C484" t="s">
        <v>38</v>
      </c>
      <c r="D484" s="5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5">
      <c r="A485">
        <v>15450</v>
      </c>
      <c r="B485" t="s">
        <v>36</v>
      </c>
      <c r="C485" t="s">
        <v>38</v>
      </c>
      <c r="D485" s="5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5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5">
      <c r="A487">
        <v>19491</v>
      </c>
      <c r="B487" t="s">
        <v>37</v>
      </c>
      <c r="C487" t="s">
        <v>38</v>
      </c>
      <c r="D487" s="5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5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5">
      <c r="A489">
        <v>12821</v>
      </c>
      <c r="B489" t="s">
        <v>36</v>
      </c>
      <c r="C489" t="s">
        <v>38</v>
      </c>
      <c r="D489" s="5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5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5">
      <c r="A491">
        <v>27835</v>
      </c>
      <c r="B491" t="s">
        <v>36</v>
      </c>
      <c r="C491" t="s">
        <v>38</v>
      </c>
      <c r="D491" s="5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5">
      <c r="A492">
        <v>11738</v>
      </c>
      <c r="B492" t="s">
        <v>36</v>
      </c>
      <c r="C492" t="s">
        <v>38</v>
      </c>
      <c r="D492" s="5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5">
      <c r="A493">
        <v>25065</v>
      </c>
      <c r="B493" t="s">
        <v>36</v>
      </c>
      <c r="C493" t="s">
        <v>38</v>
      </c>
      <c r="D493" s="5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5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5">
      <c r="A495">
        <v>23707</v>
      </c>
      <c r="B495" t="s">
        <v>37</v>
      </c>
      <c r="C495" t="s">
        <v>38</v>
      </c>
      <c r="D495" s="5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5">
      <c r="A496">
        <v>27650</v>
      </c>
      <c r="B496" t="s">
        <v>36</v>
      </c>
      <c r="C496" t="s">
        <v>38</v>
      </c>
      <c r="D496" s="5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5">
      <c r="A497">
        <v>24981</v>
      </c>
      <c r="B497" t="s">
        <v>36</v>
      </c>
      <c r="C497" t="s">
        <v>38</v>
      </c>
      <c r="D497" s="5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5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5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5">
      <c r="A500">
        <v>26012</v>
      </c>
      <c r="B500" t="s">
        <v>36</v>
      </c>
      <c r="C500" t="s">
        <v>38</v>
      </c>
      <c r="D500" s="5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5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5">
      <c r="A502">
        <v>15559</v>
      </c>
      <c r="B502" t="s">
        <v>36</v>
      </c>
      <c r="C502" t="s">
        <v>38</v>
      </c>
      <c r="D502" s="5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5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5">
      <c r="A504">
        <v>15275</v>
      </c>
      <c r="B504" t="s">
        <v>36</v>
      </c>
      <c r="C504" t="s">
        <v>38</v>
      </c>
      <c r="D504" s="5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5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5">
      <c r="A506">
        <v>25405</v>
      </c>
      <c r="B506" t="s">
        <v>36</v>
      </c>
      <c r="C506" t="s">
        <v>38</v>
      </c>
      <c r="D506" s="5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5">
      <c r="A507">
        <v>15940</v>
      </c>
      <c r="B507" t="s">
        <v>36</v>
      </c>
      <c r="C507" t="s">
        <v>38</v>
      </c>
      <c r="D507" s="5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5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5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5">
      <c r="A510">
        <v>16337</v>
      </c>
      <c r="B510" t="s">
        <v>36</v>
      </c>
      <c r="C510" t="s">
        <v>38</v>
      </c>
      <c r="D510" s="5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5">
      <c r="A511">
        <v>24357</v>
      </c>
      <c r="B511" t="s">
        <v>36</v>
      </c>
      <c r="C511" t="s">
        <v>38</v>
      </c>
      <c r="D511" s="5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5">
      <c r="A512">
        <v>18613</v>
      </c>
      <c r="B512" t="s">
        <v>37</v>
      </c>
      <c r="C512" t="s">
        <v>38</v>
      </c>
      <c r="D512" s="5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5">
      <c r="A513">
        <v>12207</v>
      </c>
      <c r="B513" t="s">
        <v>37</v>
      </c>
      <c r="C513" t="s">
        <v>38</v>
      </c>
      <c r="D513" s="5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5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5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 "Old", IF(L515&gt;=31, "Middle Age", IF(L515&lt;31, "Adolescent", "invalid")))</f>
        <v>Old</v>
      </c>
      <c r="N515" t="s">
        <v>15</v>
      </c>
    </row>
    <row r="516" spans="1:14" x14ac:dyDescent="0.35">
      <c r="A516">
        <v>19399</v>
      </c>
      <c r="B516" t="s">
        <v>37</v>
      </c>
      <c r="C516" t="s">
        <v>38</v>
      </c>
      <c r="D516" s="5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5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5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5">
      <c r="A519">
        <v>17269</v>
      </c>
      <c r="B519" t="s">
        <v>37</v>
      </c>
      <c r="C519" t="s">
        <v>38</v>
      </c>
      <c r="D519" s="5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5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5">
      <c r="A521">
        <v>15740</v>
      </c>
      <c r="B521" t="s">
        <v>36</v>
      </c>
      <c r="C521" t="s">
        <v>38</v>
      </c>
      <c r="D521" s="5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5">
      <c r="A522">
        <v>27638</v>
      </c>
      <c r="B522" t="s">
        <v>37</v>
      </c>
      <c r="C522" t="s">
        <v>38</v>
      </c>
      <c r="D522" s="5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5">
      <c r="A523">
        <v>18976</v>
      </c>
      <c r="B523" t="s">
        <v>37</v>
      </c>
      <c r="C523" t="s">
        <v>38</v>
      </c>
      <c r="D523" s="5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5">
      <c r="A524">
        <v>19413</v>
      </c>
      <c r="B524" t="s">
        <v>37</v>
      </c>
      <c r="C524" t="s">
        <v>38</v>
      </c>
      <c r="D524" s="5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5">
      <c r="A525">
        <v>13283</v>
      </c>
      <c r="B525" t="s">
        <v>36</v>
      </c>
      <c r="C525" t="s">
        <v>38</v>
      </c>
      <c r="D525" s="5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5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5">
      <c r="A527">
        <v>16791</v>
      </c>
      <c r="B527" t="s">
        <v>37</v>
      </c>
      <c r="C527" t="s">
        <v>38</v>
      </c>
      <c r="D527" s="5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5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5">
      <c r="A529">
        <v>11641</v>
      </c>
      <c r="B529" t="s">
        <v>36</v>
      </c>
      <c r="C529" t="s">
        <v>38</v>
      </c>
      <c r="D529" s="5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5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5">
      <c r="A531">
        <v>13233</v>
      </c>
      <c r="B531" t="s">
        <v>36</v>
      </c>
      <c r="C531" t="s">
        <v>38</v>
      </c>
      <c r="D531" s="5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5">
      <c r="A532">
        <v>25909</v>
      </c>
      <c r="B532" t="s">
        <v>36</v>
      </c>
      <c r="C532" t="s">
        <v>38</v>
      </c>
      <c r="D532" s="5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5">
      <c r="A533">
        <v>14092</v>
      </c>
      <c r="B533" t="s">
        <v>37</v>
      </c>
      <c r="C533" t="s">
        <v>38</v>
      </c>
      <c r="D533" s="5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5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5">
      <c r="A535">
        <v>24941</v>
      </c>
      <c r="B535" t="s">
        <v>36</v>
      </c>
      <c r="C535" t="s">
        <v>38</v>
      </c>
      <c r="D535" s="5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5">
      <c r="A536">
        <v>24637</v>
      </c>
      <c r="B536" t="s">
        <v>36</v>
      </c>
      <c r="C536" t="s">
        <v>38</v>
      </c>
      <c r="D536" s="5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5">
      <c r="A537">
        <v>23893</v>
      </c>
      <c r="B537" t="s">
        <v>36</v>
      </c>
      <c r="C537" t="s">
        <v>38</v>
      </c>
      <c r="D537" s="5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5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5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5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5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5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5">
      <c r="A543">
        <v>25375</v>
      </c>
      <c r="B543" t="s">
        <v>36</v>
      </c>
      <c r="C543" t="s">
        <v>38</v>
      </c>
      <c r="D543" s="5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5">
      <c r="A544">
        <v>11143</v>
      </c>
      <c r="B544" t="s">
        <v>36</v>
      </c>
      <c r="C544" t="s">
        <v>38</v>
      </c>
      <c r="D544" s="5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5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5">
      <c r="A546">
        <v>24397</v>
      </c>
      <c r="B546" t="s">
        <v>37</v>
      </c>
      <c r="C546" t="s">
        <v>38</v>
      </c>
      <c r="D546" s="5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5">
      <c r="A547">
        <v>19758</v>
      </c>
      <c r="B547" t="s">
        <v>37</v>
      </c>
      <c r="C547" t="s">
        <v>38</v>
      </c>
      <c r="D547" s="5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5">
      <c r="A548">
        <v>15529</v>
      </c>
      <c r="B548" t="s">
        <v>36</v>
      </c>
      <c r="C548" t="s">
        <v>38</v>
      </c>
      <c r="D548" s="5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5">
      <c r="A549">
        <v>19884</v>
      </c>
      <c r="B549" t="s">
        <v>36</v>
      </c>
      <c r="C549" t="s">
        <v>38</v>
      </c>
      <c r="D549" s="5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5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5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5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5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5">
      <c r="A554">
        <v>14417</v>
      </c>
      <c r="B554" t="s">
        <v>37</v>
      </c>
      <c r="C554" t="s">
        <v>38</v>
      </c>
      <c r="D554" s="5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5">
      <c r="A555">
        <v>17533</v>
      </c>
      <c r="B555" t="s">
        <v>36</v>
      </c>
      <c r="C555" t="s">
        <v>38</v>
      </c>
      <c r="D555" s="5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5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5">
      <c r="A557">
        <v>17025</v>
      </c>
      <c r="B557" t="s">
        <v>37</v>
      </c>
      <c r="C557" t="s">
        <v>38</v>
      </c>
      <c r="D557" s="5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5">
      <c r="A558">
        <v>25293</v>
      </c>
      <c r="B558" t="s">
        <v>36</v>
      </c>
      <c r="C558" t="s">
        <v>38</v>
      </c>
      <c r="D558" s="5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5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5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5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5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5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5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5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5">
      <c r="A566">
        <v>17369</v>
      </c>
      <c r="B566" t="s">
        <v>37</v>
      </c>
      <c r="C566" t="s">
        <v>38</v>
      </c>
      <c r="D566" s="5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5">
      <c r="A567">
        <v>14495</v>
      </c>
      <c r="B567" t="s">
        <v>36</v>
      </c>
      <c r="C567" t="s">
        <v>38</v>
      </c>
      <c r="D567" s="5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5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5">
      <c r="A569">
        <v>14754</v>
      </c>
      <c r="B569" t="s">
        <v>36</v>
      </c>
      <c r="C569" t="s">
        <v>38</v>
      </c>
      <c r="D569" s="5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5">
      <c r="A570">
        <v>23378</v>
      </c>
      <c r="B570" t="s">
        <v>36</v>
      </c>
      <c r="C570" t="s">
        <v>38</v>
      </c>
      <c r="D570" s="5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5">
      <c r="A571">
        <v>26452</v>
      </c>
      <c r="B571" t="s">
        <v>37</v>
      </c>
      <c r="C571" t="s">
        <v>38</v>
      </c>
      <c r="D571" s="5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5">
      <c r="A572">
        <v>20370</v>
      </c>
      <c r="B572" t="s">
        <v>36</v>
      </c>
      <c r="C572" t="s">
        <v>38</v>
      </c>
      <c r="D572" s="5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5">
      <c r="A573">
        <v>20528</v>
      </c>
      <c r="B573" t="s">
        <v>36</v>
      </c>
      <c r="C573" t="s">
        <v>38</v>
      </c>
      <c r="D573" s="5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5">
      <c r="A574">
        <v>23549</v>
      </c>
      <c r="B574" t="s">
        <v>37</v>
      </c>
      <c r="C574" t="s">
        <v>38</v>
      </c>
      <c r="D574" s="5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5">
      <c r="A575">
        <v>21751</v>
      </c>
      <c r="B575" t="s">
        <v>36</v>
      </c>
      <c r="C575" t="s">
        <v>38</v>
      </c>
      <c r="D575" s="5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5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5">
      <c r="A577">
        <v>13388</v>
      </c>
      <c r="B577" t="s">
        <v>37</v>
      </c>
      <c r="C577" t="s">
        <v>38</v>
      </c>
      <c r="D577" s="5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5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5">
      <c r="A579">
        <v>16917</v>
      </c>
      <c r="B579" t="s">
        <v>36</v>
      </c>
      <c r="C579" t="s">
        <v>38</v>
      </c>
      <c r="D579" s="5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 "Old", IF(L579&gt;=31, "Middle Age", IF(L579&lt;31, "Adolescent", "invalid")))</f>
        <v>Middle Age</v>
      </c>
      <c r="N579" t="s">
        <v>18</v>
      </c>
    </row>
    <row r="580" spans="1:14" x14ac:dyDescent="0.35">
      <c r="A580">
        <v>15313</v>
      </c>
      <c r="B580" t="s">
        <v>36</v>
      </c>
      <c r="C580" t="s">
        <v>38</v>
      </c>
      <c r="D580" s="5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5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5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5">
      <c r="A583">
        <v>23089</v>
      </c>
      <c r="B583" t="s">
        <v>36</v>
      </c>
      <c r="C583" t="s">
        <v>38</v>
      </c>
      <c r="D583" s="5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5">
      <c r="A584">
        <v>13749</v>
      </c>
      <c r="B584" t="s">
        <v>36</v>
      </c>
      <c r="C584" t="s">
        <v>38</v>
      </c>
      <c r="D584" s="5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5">
      <c r="A585">
        <v>24943</v>
      </c>
      <c r="B585" t="s">
        <v>36</v>
      </c>
      <c r="C585" t="s">
        <v>38</v>
      </c>
      <c r="D585" s="5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5">
      <c r="A586">
        <v>28667</v>
      </c>
      <c r="B586" t="s">
        <v>37</v>
      </c>
      <c r="C586" t="s">
        <v>38</v>
      </c>
      <c r="D586" s="5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5">
      <c r="A587">
        <v>15194</v>
      </c>
      <c r="B587" t="s">
        <v>37</v>
      </c>
      <c r="C587" t="s">
        <v>38</v>
      </c>
      <c r="D587" s="5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5">
      <c r="A588">
        <v>17436</v>
      </c>
      <c r="B588" t="s">
        <v>36</v>
      </c>
      <c r="C588" t="s">
        <v>38</v>
      </c>
      <c r="D588" s="5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5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5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5">
      <c r="A591">
        <v>12100</v>
      </c>
      <c r="B591" t="s">
        <v>37</v>
      </c>
      <c r="C591" t="s">
        <v>38</v>
      </c>
      <c r="D591" s="5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5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5">
      <c r="A593">
        <v>18545</v>
      </c>
      <c r="B593" t="s">
        <v>36</v>
      </c>
      <c r="C593" t="s">
        <v>38</v>
      </c>
      <c r="D593" s="5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5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5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5">
      <c r="A596">
        <v>27660</v>
      </c>
      <c r="B596" t="s">
        <v>36</v>
      </c>
      <c r="C596" t="s">
        <v>38</v>
      </c>
      <c r="D596" s="5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5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5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5">
      <c r="A599">
        <v>28997</v>
      </c>
      <c r="B599" t="s">
        <v>37</v>
      </c>
      <c r="C599" t="s">
        <v>38</v>
      </c>
      <c r="D599" s="5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5">
      <c r="A600">
        <v>24398</v>
      </c>
      <c r="B600" t="s">
        <v>36</v>
      </c>
      <c r="C600" t="s">
        <v>38</v>
      </c>
      <c r="D600" s="5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5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5">
      <c r="A602">
        <v>28609</v>
      </c>
      <c r="B602" t="s">
        <v>36</v>
      </c>
      <c r="C602" t="s">
        <v>38</v>
      </c>
      <c r="D602" s="5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5">
      <c r="A603">
        <v>29231</v>
      </c>
      <c r="B603" t="s">
        <v>37</v>
      </c>
      <c r="C603" t="s">
        <v>38</v>
      </c>
      <c r="D603" s="5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5">
      <c r="A604">
        <v>18858</v>
      </c>
      <c r="B604" t="s">
        <v>37</v>
      </c>
      <c r="C604" t="s">
        <v>38</v>
      </c>
      <c r="D604" s="5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5">
      <c r="A605">
        <v>20000</v>
      </c>
      <c r="B605" t="s">
        <v>36</v>
      </c>
      <c r="C605" t="s">
        <v>38</v>
      </c>
      <c r="D605" s="5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5">
      <c r="A606">
        <v>25261</v>
      </c>
      <c r="B606" t="s">
        <v>36</v>
      </c>
      <c r="C606" t="s">
        <v>38</v>
      </c>
      <c r="D606" s="5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5">
      <c r="A607">
        <v>17458</v>
      </c>
      <c r="B607" t="s">
        <v>37</v>
      </c>
      <c r="C607" t="s">
        <v>38</v>
      </c>
      <c r="D607" s="5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5">
      <c r="A608">
        <v>11644</v>
      </c>
      <c r="B608" t="s">
        <v>37</v>
      </c>
      <c r="C608" t="s">
        <v>38</v>
      </c>
      <c r="D608" s="5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5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5">
      <c r="A610">
        <v>16890</v>
      </c>
      <c r="B610" t="s">
        <v>36</v>
      </c>
      <c r="C610" t="s">
        <v>38</v>
      </c>
      <c r="D610" s="5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5">
      <c r="A611">
        <v>25983</v>
      </c>
      <c r="B611" t="s">
        <v>36</v>
      </c>
      <c r="C611" t="s">
        <v>38</v>
      </c>
      <c r="D611" s="5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5">
      <c r="A612">
        <v>14633</v>
      </c>
      <c r="B612" t="s">
        <v>36</v>
      </c>
      <c r="C612" t="s">
        <v>38</v>
      </c>
      <c r="D612" s="5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5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5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5">
      <c r="A615">
        <v>25184</v>
      </c>
      <c r="B615" t="s">
        <v>37</v>
      </c>
      <c r="C615" t="s">
        <v>38</v>
      </c>
      <c r="D615" s="5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5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5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5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5">
      <c r="A619">
        <v>17858</v>
      </c>
      <c r="B619" t="s">
        <v>36</v>
      </c>
      <c r="C619" t="s">
        <v>38</v>
      </c>
      <c r="D619" s="5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5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5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5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5">
      <c r="A623">
        <v>11200</v>
      </c>
      <c r="B623" t="s">
        <v>36</v>
      </c>
      <c r="C623" t="s">
        <v>38</v>
      </c>
      <c r="D623" s="5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25101</v>
      </c>
      <c r="B624" t="s">
        <v>36</v>
      </c>
      <c r="C624" t="s">
        <v>38</v>
      </c>
      <c r="D624" s="5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5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5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5">
      <c r="A627">
        <v>22127</v>
      </c>
      <c r="B627" t="s">
        <v>36</v>
      </c>
      <c r="C627" t="s">
        <v>38</v>
      </c>
      <c r="D627" s="5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5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5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5">
      <c r="A630">
        <v>29255</v>
      </c>
      <c r="B630" t="s">
        <v>37</v>
      </c>
      <c r="C630" t="s">
        <v>38</v>
      </c>
      <c r="D630" s="5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5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5">
      <c r="A632">
        <v>27753</v>
      </c>
      <c r="B632" t="s">
        <v>36</v>
      </c>
      <c r="C632" t="s">
        <v>38</v>
      </c>
      <c r="D632" s="5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5">
      <c r="A633">
        <v>27643</v>
      </c>
      <c r="B633" t="s">
        <v>37</v>
      </c>
      <c r="C633" t="s">
        <v>38</v>
      </c>
      <c r="D633" s="5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5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5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5">
      <c r="A636">
        <v>27388</v>
      </c>
      <c r="B636" t="s">
        <v>36</v>
      </c>
      <c r="C636" t="s">
        <v>38</v>
      </c>
      <c r="D636" s="5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5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5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5">
      <c r="A639">
        <v>15272</v>
      </c>
      <c r="B639" t="s">
        <v>37</v>
      </c>
      <c r="C639" t="s">
        <v>38</v>
      </c>
      <c r="D639" s="5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5">
      <c r="A640">
        <v>18949</v>
      </c>
      <c r="B640" t="s">
        <v>37</v>
      </c>
      <c r="C640" t="s">
        <v>38</v>
      </c>
      <c r="D640" s="5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5">
      <c r="A641">
        <v>14507</v>
      </c>
      <c r="B641" t="s">
        <v>36</v>
      </c>
      <c r="C641" t="s">
        <v>38</v>
      </c>
      <c r="D641" s="5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5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5">
      <c r="A643">
        <v>21441</v>
      </c>
      <c r="B643" t="s">
        <v>36</v>
      </c>
      <c r="C643" t="s">
        <v>38</v>
      </c>
      <c r="D643" s="5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 "Old", IF(L643&gt;=31, "Middle Age", IF(L643&lt;31, "Adolescent", "invalid")))</f>
        <v>Old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5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5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5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5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5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5">
      <c r="A649">
        <v>22010</v>
      </c>
      <c r="B649" t="s">
        <v>37</v>
      </c>
      <c r="C649" t="s">
        <v>38</v>
      </c>
      <c r="D649" s="5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5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5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5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5">
      <c r="A653">
        <v>14284</v>
      </c>
      <c r="B653" t="s">
        <v>37</v>
      </c>
      <c r="C653" t="s">
        <v>38</v>
      </c>
      <c r="D653" s="5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5">
      <c r="A654">
        <v>11287</v>
      </c>
      <c r="B654" t="s">
        <v>36</v>
      </c>
      <c r="C654" t="s">
        <v>38</v>
      </c>
      <c r="D654" s="5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5">
      <c r="A655">
        <v>13066</v>
      </c>
      <c r="B655" t="s">
        <v>37</v>
      </c>
      <c r="C655" t="s">
        <v>38</v>
      </c>
      <c r="D655" s="5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5">
      <c r="A656">
        <v>29106</v>
      </c>
      <c r="B656" t="s">
        <v>37</v>
      </c>
      <c r="C656" t="s">
        <v>38</v>
      </c>
      <c r="D656" s="5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5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5">
      <c r="A658">
        <v>17531</v>
      </c>
      <c r="B658" t="s">
        <v>36</v>
      </c>
      <c r="C658" t="s">
        <v>38</v>
      </c>
      <c r="D658" s="5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5">
      <c r="A659">
        <v>12964</v>
      </c>
      <c r="B659" t="s">
        <v>36</v>
      </c>
      <c r="C659" t="s">
        <v>38</v>
      </c>
      <c r="D659" s="5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5">
      <c r="A660">
        <v>19133</v>
      </c>
      <c r="B660" t="s">
        <v>37</v>
      </c>
      <c r="C660" t="s">
        <v>38</v>
      </c>
      <c r="D660" s="5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5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5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5">
      <c r="A663">
        <v>22976</v>
      </c>
      <c r="B663" t="s">
        <v>37</v>
      </c>
      <c r="C663" t="s">
        <v>38</v>
      </c>
      <c r="D663" s="5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5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5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5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5">
      <c r="A667">
        <v>14443</v>
      </c>
      <c r="B667" t="s">
        <v>36</v>
      </c>
      <c r="C667" t="s">
        <v>38</v>
      </c>
      <c r="D667" s="5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5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5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5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5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5">
      <c r="A672">
        <v>21471</v>
      </c>
      <c r="B672" t="s">
        <v>36</v>
      </c>
      <c r="C672" t="s">
        <v>38</v>
      </c>
      <c r="D672" s="5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5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5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5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5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5">
      <c r="A677">
        <v>18517</v>
      </c>
      <c r="B677" t="s">
        <v>36</v>
      </c>
      <c r="C677" t="s">
        <v>38</v>
      </c>
      <c r="D677" s="5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5">
      <c r="A678">
        <v>21717</v>
      </c>
      <c r="B678" t="s">
        <v>36</v>
      </c>
      <c r="C678" t="s">
        <v>38</v>
      </c>
      <c r="D678" s="5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5">
      <c r="A679">
        <v>13760</v>
      </c>
      <c r="B679" t="s">
        <v>36</v>
      </c>
      <c r="C679" t="s">
        <v>38</v>
      </c>
      <c r="D679" s="5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5">
      <c r="A680">
        <v>18145</v>
      </c>
      <c r="B680" t="s">
        <v>36</v>
      </c>
      <c r="C680" t="s">
        <v>38</v>
      </c>
      <c r="D680" s="5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5">
      <c r="A681">
        <v>21770</v>
      </c>
      <c r="B681" t="s">
        <v>36</v>
      </c>
      <c r="C681" t="s">
        <v>38</v>
      </c>
      <c r="D681" s="5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5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5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5">
      <c r="A684">
        <v>26248</v>
      </c>
      <c r="B684" t="s">
        <v>36</v>
      </c>
      <c r="C684" t="s">
        <v>38</v>
      </c>
      <c r="D684" s="5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5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5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5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5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5">
      <c r="A689">
        <v>18910</v>
      </c>
      <c r="B689" t="s">
        <v>37</v>
      </c>
      <c r="C689" t="s">
        <v>38</v>
      </c>
      <c r="D689" s="5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5">
      <c r="A690">
        <v>11699</v>
      </c>
      <c r="B690" t="s">
        <v>37</v>
      </c>
      <c r="C690" t="s">
        <v>38</v>
      </c>
      <c r="D690" s="5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5">
      <c r="A691">
        <v>16725</v>
      </c>
      <c r="B691" t="s">
        <v>36</v>
      </c>
      <c r="C691" t="s">
        <v>38</v>
      </c>
      <c r="D691" s="5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5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5">
      <c r="A693">
        <v>23144</v>
      </c>
      <c r="B693" t="s">
        <v>36</v>
      </c>
      <c r="C693" t="s">
        <v>38</v>
      </c>
      <c r="D693" s="5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5">
      <c r="A694">
        <v>23376</v>
      </c>
      <c r="B694" t="s">
        <v>36</v>
      </c>
      <c r="C694" t="s">
        <v>38</v>
      </c>
      <c r="D694" s="5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5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5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5">
      <c r="A697">
        <v>18390</v>
      </c>
      <c r="B697" t="s">
        <v>36</v>
      </c>
      <c r="C697" t="s">
        <v>38</v>
      </c>
      <c r="D697" s="5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5">
      <c r="A698">
        <v>29112</v>
      </c>
      <c r="B698" t="s">
        <v>37</v>
      </c>
      <c r="C698" t="s">
        <v>38</v>
      </c>
      <c r="D698" s="5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5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5">
      <c r="A700">
        <v>27040</v>
      </c>
      <c r="B700" t="s">
        <v>36</v>
      </c>
      <c r="C700" t="s">
        <v>38</v>
      </c>
      <c r="D700" s="5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5">
      <c r="A701">
        <v>23479</v>
      </c>
      <c r="B701" t="s">
        <v>37</v>
      </c>
      <c r="C701" t="s">
        <v>38</v>
      </c>
      <c r="D701" s="5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5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5">
      <c r="A703">
        <v>22014</v>
      </c>
      <c r="B703" t="s">
        <v>37</v>
      </c>
      <c r="C703" t="s">
        <v>38</v>
      </c>
      <c r="D703" s="5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5">
      <c r="A704">
        <v>13314</v>
      </c>
      <c r="B704" t="s">
        <v>36</v>
      </c>
      <c r="C704" t="s">
        <v>38</v>
      </c>
      <c r="D704" s="5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5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5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5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 "Old", IF(L707&gt;=31, "Middle Age", IF(L707&lt;31, "Adolescent", "invalid")))</f>
        <v>Old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5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5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5">
      <c r="A710">
        <v>18069</v>
      </c>
      <c r="B710" t="s">
        <v>36</v>
      </c>
      <c r="C710" t="s">
        <v>38</v>
      </c>
      <c r="D710" s="5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5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5">
      <c r="A712">
        <v>23358</v>
      </c>
      <c r="B712" t="s">
        <v>36</v>
      </c>
      <c r="C712" t="s">
        <v>38</v>
      </c>
      <c r="D712" s="5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5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5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5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5">
      <c r="A716">
        <v>16020</v>
      </c>
      <c r="B716" t="s">
        <v>36</v>
      </c>
      <c r="C716" t="s">
        <v>38</v>
      </c>
      <c r="D716" s="5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5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5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5">
      <c r="A719">
        <v>19661</v>
      </c>
      <c r="B719" t="s">
        <v>37</v>
      </c>
      <c r="C719" t="s">
        <v>38</v>
      </c>
      <c r="D719" s="5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5">
      <c r="A720">
        <v>26327</v>
      </c>
      <c r="B720" t="s">
        <v>36</v>
      </c>
      <c r="C720" t="s">
        <v>38</v>
      </c>
      <c r="D720" s="5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5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5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5">
      <c r="A723">
        <v>13287</v>
      </c>
      <c r="B723" t="s">
        <v>37</v>
      </c>
      <c r="C723" t="s">
        <v>38</v>
      </c>
      <c r="D723" s="5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5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5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5">
      <c r="A726">
        <v>23275</v>
      </c>
      <c r="B726" t="s">
        <v>36</v>
      </c>
      <c r="C726" t="s">
        <v>38</v>
      </c>
      <c r="D726" s="5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5">
      <c r="A727">
        <v>11270</v>
      </c>
      <c r="B727" t="s">
        <v>36</v>
      </c>
      <c r="C727" t="s">
        <v>38</v>
      </c>
      <c r="D727" s="5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5">
      <c r="A728">
        <v>20084</v>
      </c>
      <c r="B728" t="s">
        <v>36</v>
      </c>
      <c r="C728" t="s">
        <v>38</v>
      </c>
      <c r="D728" s="5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5">
      <c r="A729">
        <v>16144</v>
      </c>
      <c r="B729" t="s">
        <v>36</v>
      </c>
      <c r="C729" t="s">
        <v>38</v>
      </c>
      <c r="D729" s="5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5">
      <c r="A730">
        <v>27731</v>
      </c>
      <c r="B730" t="s">
        <v>36</v>
      </c>
      <c r="C730" t="s">
        <v>38</v>
      </c>
      <c r="D730" s="5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5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5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5">
      <c r="A733">
        <v>22220</v>
      </c>
      <c r="B733" t="s">
        <v>36</v>
      </c>
      <c r="C733" t="s">
        <v>38</v>
      </c>
      <c r="D733" s="5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5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5">
      <c r="A735">
        <v>23027</v>
      </c>
      <c r="B735" t="s">
        <v>37</v>
      </c>
      <c r="C735" t="s">
        <v>38</v>
      </c>
      <c r="D735" s="5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5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5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5">
      <c r="A738">
        <v>19634</v>
      </c>
      <c r="B738" t="s">
        <v>36</v>
      </c>
      <c r="C738" t="s">
        <v>38</v>
      </c>
      <c r="D738" s="5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5">
      <c r="A739">
        <v>18504</v>
      </c>
      <c r="B739" t="s">
        <v>36</v>
      </c>
      <c r="C739" t="s">
        <v>38</v>
      </c>
      <c r="D739" s="5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5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5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5">
      <c r="A742">
        <v>17657</v>
      </c>
      <c r="B742" t="s">
        <v>36</v>
      </c>
      <c r="C742" t="s">
        <v>38</v>
      </c>
      <c r="D742" s="5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5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5">
      <c r="A744">
        <v>14077</v>
      </c>
      <c r="B744" t="s">
        <v>37</v>
      </c>
      <c r="C744" t="s">
        <v>38</v>
      </c>
      <c r="D744" s="5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5">
      <c r="A745">
        <v>13296</v>
      </c>
      <c r="B745" t="s">
        <v>36</v>
      </c>
      <c r="C745" t="s">
        <v>38</v>
      </c>
      <c r="D745" s="5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5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5">
      <c r="A747">
        <v>12452</v>
      </c>
      <c r="B747" t="s">
        <v>36</v>
      </c>
      <c r="C747" t="s">
        <v>38</v>
      </c>
      <c r="D747" s="5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5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5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5">
      <c r="A750">
        <v>15412</v>
      </c>
      <c r="B750" t="s">
        <v>36</v>
      </c>
      <c r="C750" t="s">
        <v>38</v>
      </c>
      <c r="D750" s="5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5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5">
      <c r="A752">
        <v>20758</v>
      </c>
      <c r="B752" t="s">
        <v>36</v>
      </c>
      <c r="C752" t="s">
        <v>38</v>
      </c>
      <c r="D752" s="5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5">
      <c r="A753">
        <v>11801</v>
      </c>
      <c r="B753" t="s">
        <v>36</v>
      </c>
      <c r="C753" t="s">
        <v>38</v>
      </c>
      <c r="D753" s="5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5">
      <c r="A754">
        <v>22211</v>
      </c>
      <c r="B754" t="s">
        <v>36</v>
      </c>
      <c r="C754" t="s">
        <v>38</v>
      </c>
      <c r="D754" s="5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5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5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5">
      <c r="A757">
        <v>27441</v>
      </c>
      <c r="B757" t="s">
        <v>36</v>
      </c>
      <c r="C757" t="s">
        <v>38</v>
      </c>
      <c r="D757" s="5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5">
      <c r="A758">
        <v>27261</v>
      </c>
      <c r="B758" t="s">
        <v>36</v>
      </c>
      <c r="C758" t="s">
        <v>38</v>
      </c>
      <c r="D758" s="5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5">
      <c r="A759">
        <v>18649</v>
      </c>
      <c r="B759" t="s">
        <v>37</v>
      </c>
      <c r="C759" t="s">
        <v>38</v>
      </c>
      <c r="D759" s="5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5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5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5">
      <c r="A762">
        <v>23797</v>
      </c>
      <c r="B762" t="s">
        <v>37</v>
      </c>
      <c r="C762" t="s">
        <v>38</v>
      </c>
      <c r="D762" s="5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5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5">
      <c r="A764">
        <v>20657</v>
      </c>
      <c r="B764" t="s">
        <v>37</v>
      </c>
      <c r="C764" t="s">
        <v>38</v>
      </c>
      <c r="D764" s="5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5">
      <c r="A765">
        <v>12882</v>
      </c>
      <c r="B765" t="s">
        <v>36</v>
      </c>
      <c r="C765" t="s">
        <v>38</v>
      </c>
      <c r="D765" s="5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5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5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5">
      <c r="A768">
        <v>14608</v>
      </c>
      <c r="B768" t="s">
        <v>36</v>
      </c>
      <c r="C768" t="s">
        <v>38</v>
      </c>
      <c r="D768" s="5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5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5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5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 "Old", IF(L771&gt;=31, "Middle Age", IF(L771&lt;31, "Adolescent", "invalid")))</f>
        <v>Middle Age</v>
      </c>
      <c r="N771" t="s">
        <v>18</v>
      </c>
    </row>
    <row r="772" spans="1:14" x14ac:dyDescent="0.35">
      <c r="A772">
        <v>17699</v>
      </c>
      <c r="B772" t="s">
        <v>36</v>
      </c>
      <c r="C772" t="s">
        <v>38</v>
      </c>
      <c r="D772" s="5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5">
      <c r="A773">
        <v>14657</v>
      </c>
      <c r="B773" t="s">
        <v>36</v>
      </c>
      <c r="C773" t="s">
        <v>38</v>
      </c>
      <c r="D773" s="5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5">
      <c r="A774">
        <v>11540</v>
      </c>
      <c r="B774" t="s">
        <v>37</v>
      </c>
      <c r="C774" t="s">
        <v>38</v>
      </c>
      <c r="D774" s="5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5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5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5">
      <c r="A777">
        <v>29030</v>
      </c>
      <c r="B777" t="s">
        <v>36</v>
      </c>
      <c r="C777" t="s">
        <v>38</v>
      </c>
      <c r="D777" s="5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5">
      <c r="A778">
        <v>26490</v>
      </c>
      <c r="B778" t="s">
        <v>37</v>
      </c>
      <c r="C778" t="s">
        <v>38</v>
      </c>
      <c r="D778" s="5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5">
      <c r="A779">
        <v>13151</v>
      </c>
      <c r="B779" t="s">
        <v>37</v>
      </c>
      <c r="C779" t="s">
        <v>38</v>
      </c>
      <c r="D779" s="5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5">
      <c r="A780">
        <v>17260</v>
      </c>
      <c r="B780" t="s">
        <v>36</v>
      </c>
      <c r="C780" t="s">
        <v>38</v>
      </c>
      <c r="D780" s="5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5">
      <c r="A781">
        <v>15372</v>
      </c>
      <c r="B781" t="s">
        <v>36</v>
      </c>
      <c r="C781" t="s">
        <v>38</v>
      </c>
      <c r="D781" s="5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5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5">
      <c r="A783">
        <v>19660</v>
      </c>
      <c r="B783" t="s">
        <v>36</v>
      </c>
      <c r="C783" t="s">
        <v>38</v>
      </c>
      <c r="D783" s="5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5">
      <c r="A784">
        <v>16112</v>
      </c>
      <c r="B784" t="s">
        <v>37</v>
      </c>
      <c r="C784" t="s">
        <v>38</v>
      </c>
      <c r="D784" s="5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5">
      <c r="A785">
        <v>20698</v>
      </c>
      <c r="B785" t="s">
        <v>36</v>
      </c>
      <c r="C785" t="s">
        <v>38</v>
      </c>
      <c r="D785" s="5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5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5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5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5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5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5">
      <c r="A791">
        <v>22221</v>
      </c>
      <c r="B791" t="s">
        <v>36</v>
      </c>
      <c r="C791" t="s">
        <v>38</v>
      </c>
      <c r="D791" s="5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5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5">
      <c r="A793">
        <v>18363</v>
      </c>
      <c r="B793" t="s">
        <v>36</v>
      </c>
      <c r="C793" t="s">
        <v>38</v>
      </c>
      <c r="D793" s="5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5">
      <c r="A794">
        <v>23256</v>
      </c>
      <c r="B794" t="s">
        <v>37</v>
      </c>
      <c r="C794" t="s">
        <v>38</v>
      </c>
      <c r="D794" s="5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5">
      <c r="A795">
        <v>12768</v>
      </c>
      <c r="B795" t="s">
        <v>36</v>
      </c>
      <c r="C795" t="s">
        <v>38</v>
      </c>
      <c r="D795" s="5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5">
      <c r="A796">
        <v>20361</v>
      </c>
      <c r="B796" t="s">
        <v>36</v>
      </c>
      <c r="C796" t="s">
        <v>38</v>
      </c>
      <c r="D796" s="5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5">
      <c r="A797">
        <v>21306</v>
      </c>
      <c r="B797" t="s">
        <v>37</v>
      </c>
      <c r="C797" t="s">
        <v>38</v>
      </c>
      <c r="D797" s="5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5">
      <c r="A798">
        <v>13382</v>
      </c>
      <c r="B798" t="s">
        <v>36</v>
      </c>
      <c r="C798" t="s">
        <v>38</v>
      </c>
      <c r="D798" s="5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5">
      <c r="A799">
        <v>20310</v>
      </c>
      <c r="B799" t="s">
        <v>37</v>
      </c>
      <c r="C799" t="s">
        <v>38</v>
      </c>
      <c r="D799" s="5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5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5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5">
      <c r="A802">
        <v>15532</v>
      </c>
      <c r="B802" t="s">
        <v>37</v>
      </c>
      <c r="C802" t="s">
        <v>38</v>
      </c>
      <c r="D802" s="5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5">
      <c r="A803">
        <v>11255</v>
      </c>
      <c r="B803" t="s">
        <v>36</v>
      </c>
      <c r="C803" t="s">
        <v>38</v>
      </c>
      <c r="D803" s="5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5">
      <c r="A804">
        <v>28090</v>
      </c>
      <c r="B804" t="s">
        <v>36</v>
      </c>
      <c r="C804" t="s">
        <v>38</v>
      </c>
      <c r="D804" s="5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5">
      <c r="A805">
        <v>15255</v>
      </c>
      <c r="B805" t="s">
        <v>36</v>
      </c>
      <c r="C805" t="s">
        <v>38</v>
      </c>
      <c r="D805" s="5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5">
      <c r="A806">
        <v>13154</v>
      </c>
      <c r="B806" t="s">
        <v>36</v>
      </c>
      <c r="C806" t="s">
        <v>38</v>
      </c>
      <c r="D806" s="5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5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5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5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5">
      <c r="A810">
        <v>17668</v>
      </c>
      <c r="B810" t="s">
        <v>37</v>
      </c>
      <c r="C810" t="s">
        <v>38</v>
      </c>
      <c r="D810" s="5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5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5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5">
      <c r="A813">
        <v>25954</v>
      </c>
      <c r="B813" t="s">
        <v>36</v>
      </c>
      <c r="C813" t="s">
        <v>38</v>
      </c>
      <c r="D813" s="5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5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5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5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5">
      <c r="A817">
        <v>23333</v>
      </c>
      <c r="B817" t="s">
        <v>36</v>
      </c>
      <c r="C817" t="s">
        <v>38</v>
      </c>
      <c r="D817" s="5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5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5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5">
      <c r="A820">
        <v>24514</v>
      </c>
      <c r="B820" t="s">
        <v>36</v>
      </c>
      <c r="C820" t="s">
        <v>38</v>
      </c>
      <c r="D820" s="5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5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5">
      <c r="A822">
        <v>29243</v>
      </c>
      <c r="B822" t="s">
        <v>37</v>
      </c>
      <c r="C822" t="s">
        <v>38</v>
      </c>
      <c r="D822" s="5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5">
      <c r="A823">
        <v>26582</v>
      </c>
      <c r="B823" t="s">
        <v>36</v>
      </c>
      <c r="C823" t="s">
        <v>38</v>
      </c>
      <c r="D823" s="5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5">
      <c r="A824">
        <v>14271</v>
      </c>
      <c r="B824" t="s">
        <v>36</v>
      </c>
      <c r="C824" t="s">
        <v>38</v>
      </c>
      <c r="D824" s="5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5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5">
      <c r="A826">
        <v>29048</v>
      </c>
      <c r="B826" t="s">
        <v>37</v>
      </c>
      <c r="C826" t="s">
        <v>38</v>
      </c>
      <c r="D826" s="5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5">
      <c r="A827">
        <v>24433</v>
      </c>
      <c r="B827" t="s">
        <v>36</v>
      </c>
      <c r="C827" t="s">
        <v>38</v>
      </c>
      <c r="D827" s="5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5">
      <c r="A828">
        <v>15501</v>
      </c>
      <c r="B828" t="s">
        <v>36</v>
      </c>
      <c r="C828" t="s">
        <v>38</v>
      </c>
      <c r="D828" s="5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5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5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5">
      <c r="A831">
        <v>16009</v>
      </c>
      <c r="B831" t="s">
        <v>37</v>
      </c>
      <c r="C831" t="s">
        <v>38</v>
      </c>
      <c r="D831" s="5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5">
      <c r="A832">
        <v>18411</v>
      </c>
      <c r="B832" t="s">
        <v>36</v>
      </c>
      <c r="C832" t="s">
        <v>38</v>
      </c>
      <c r="D832" s="5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5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5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5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 "Old", IF(L835&gt;=31, "Middle Age", IF(L835&lt;31, "Adolescent", "invalid")))</f>
        <v>Middle Age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5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5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5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5">
      <c r="A839">
        <v>16773</v>
      </c>
      <c r="B839" t="s">
        <v>36</v>
      </c>
      <c r="C839" t="s">
        <v>38</v>
      </c>
      <c r="D839" s="5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5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5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5">
      <c r="A842">
        <v>11233</v>
      </c>
      <c r="B842" t="s">
        <v>36</v>
      </c>
      <c r="C842" t="s">
        <v>38</v>
      </c>
      <c r="D842" s="5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5">
      <c r="A843">
        <v>12056</v>
      </c>
      <c r="B843" t="s">
        <v>36</v>
      </c>
      <c r="C843" t="s">
        <v>38</v>
      </c>
      <c r="D843" s="5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5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5">
      <c r="A845">
        <v>18423</v>
      </c>
      <c r="B845" t="s">
        <v>37</v>
      </c>
      <c r="C845" t="s">
        <v>38</v>
      </c>
      <c r="D845" s="5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5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5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5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5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5">
      <c r="A850">
        <v>13176</v>
      </c>
      <c r="B850" t="s">
        <v>37</v>
      </c>
      <c r="C850" t="s">
        <v>38</v>
      </c>
      <c r="D850" s="5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5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5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5">
      <c r="A853">
        <v>16751</v>
      </c>
      <c r="B853" t="s">
        <v>36</v>
      </c>
      <c r="C853" t="s">
        <v>38</v>
      </c>
      <c r="D853" s="5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5">
      <c r="A854">
        <v>21613</v>
      </c>
      <c r="B854" t="s">
        <v>37</v>
      </c>
      <c r="C854" t="s">
        <v>38</v>
      </c>
      <c r="D854" s="5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5">
      <c r="A855">
        <v>24801</v>
      </c>
      <c r="B855" t="s">
        <v>37</v>
      </c>
      <c r="C855" t="s">
        <v>38</v>
      </c>
      <c r="D855" s="5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5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5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5">
      <c r="A858">
        <v>29052</v>
      </c>
      <c r="B858" t="s">
        <v>37</v>
      </c>
      <c r="C858" t="s">
        <v>38</v>
      </c>
      <c r="D858" s="5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5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5">
      <c r="A860">
        <v>19147</v>
      </c>
      <c r="B860" t="s">
        <v>36</v>
      </c>
      <c r="C860" t="s">
        <v>38</v>
      </c>
      <c r="D860" s="5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5">
      <c r="A861">
        <v>19217</v>
      </c>
      <c r="B861" t="s">
        <v>36</v>
      </c>
      <c r="C861" t="s">
        <v>38</v>
      </c>
      <c r="D861" s="5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5">
      <c r="A862">
        <v>15839</v>
      </c>
      <c r="B862" t="s">
        <v>37</v>
      </c>
      <c r="C862" t="s">
        <v>38</v>
      </c>
      <c r="D862" s="5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5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5">
      <c r="A864">
        <v>22330</v>
      </c>
      <c r="B864" t="s">
        <v>36</v>
      </c>
      <c r="C864" t="s">
        <v>38</v>
      </c>
      <c r="D864" s="5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5">
      <c r="A865">
        <v>18783</v>
      </c>
      <c r="B865" t="s">
        <v>37</v>
      </c>
      <c r="C865" t="s">
        <v>38</v>
      </c>
      <c r="D865" s="5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5">
      <c r="A866">
        <v>25041</v>
      </c>
      <c r="B866" t="s">
        <v>37</v>
      </c>
      <c r="C866" t="s">
        <v>38</v>
      </c>
      <c r="D866" s="5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5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5">
      <c r="A868">
        <v>28052</v>
      </c>
      <c r="B868" t="s">
        <v>36</v>
      </c>
      <c r="C868" t="s">
        <v>38</v>
      </c>
      <c r="D868" s="5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5">
      <c r="A869">
        <v>26693</v>
      </c>
      <c r="B869" t="s">
        <v>36</v>
      </c>
      <c r="C869" t="s">
        <v>38</v>
      </c>
      <c r="D869" s="5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5">
      <c r="A870">
        <v>24955</v>
      </c>
      <c r="B870" t="s">
        <v>37</v>
      </c>
      <c r="C870" t="s">
        <v>38</v>
      </c>
      <c r="D870" s="5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5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5">
      <c r="A872">
        <v>13942</v>
      </c>
      <c r="B872" t="s">
        <v>36</v>
      </c>
      <c r="C872" t="s">
        <v>38</v>
      </c>
      <c r="D872" s="5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5">
      <c r="A873">
        <v>11219</v>
      </c>
      <c r="B873" t="s">
        <v>36</v>
      </c>
      <c r="C873" t="s">
        <v>38</v>
      </c>
      <c r="D873" s="5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5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5">
      <c r="A875">
        <v>23197</v>
      </c>
      <c r="B875" t="s">
        <v>36</v>
      </c>
      <c r="C875" t="s">
        <v>38</v>
      </c>
      <c r="D875" s="5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5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5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5">
      <c r="A878">
        <v>18322</v>
      </c>
      <c r="B878" t="s">
        <v>37</v>
      </c>
      <c r="C878" t="s">
        <v>38</v>
      </c>
      <c r="D878" s="5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5">
      <c r="A879">
        <v>15879</v>
      </c>
      <c r="B879" t="s">
        <v>36</v>
      </c>
      <c r="C879" t="s">
        <v>38</v>
      </c>
      <c r="D879" s="5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5">
      <c r="A880">
        <v>28278</v>
      </c>
      <c r="B880" t="s">
        <v>36</v>
      </c>
      <c r="C880" t="s">
        <v>38</v>
      </c>
      <c r="D880" s="5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5">
      <c r="A881">
        <v>24416</v>
      </c>
      <c r="B881" t="s">
        <v>36</v>
      </c>
      <c r="C881" t="s">
        <v>38</v>
      </c>
      <c r="D881" s="5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5">
      <c r="A882">
        <v>28066</v>
      </c>
      <c r="B882" t="s">
        <v>36</v>
      </c>
      <c r="C882" t="s">
        <v>38</v>
      </c>
      <c r="D882" s="5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5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5">
      <c r="A884">
        <v>14872</v>
      </c>
      <c r="B884" t="s">
        <v>36</v>
      </c>
      <c r="C884" t="s">
        <v>38</v>
      </c>
      <c r="D884" s="5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5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5">
      <c r="A886">
        <v>19731</v>
      </c>
      <c r="B886" t="s">
        <v>36</v>
      </c>
      <c r="C886" t="s">
        <v>38</v>
      </c>
      <c r="D886" s="5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5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5">
      <c r="A888">
        <v>11807</v>
      </c>
      <c r="B888" t="s">
        <v>36</v>
      </c>
      <c r="C888" t="s">
        <v>38</v>
      </c>
      <c r="D888" s="5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5">
      <c r="A889">
        <v>11622</v>
      </c>
      <c r="B889" t="s">
        <v>36</v>
      </c>
      <c r="C889" t="s">
        <v>38</v>
      </c>
      <c r="D889" s="5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5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5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5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5">
      <c r="A893">
        <v>13415</v>
      </c>
      <c r="B893" t="s">
        <v>37</v>
      </c>
      <c r="C893" t="s">
        <v>38</v>
      </c>
      <c r="D893" s="5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5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5">
      <c r="A895">
        <v>14569</v>
      </c>
      <c r="B895" t="s">
        <v>36</v>
      </c>
      <c r="C895" t="s">
        <v>38</v>
      </c>
      <c r="D895" s="5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5">
      <c r="A896">
        <v>13873</v>
      </c>
      <c r="B896" t="s">
        <v>36</v>
      </c>
      <c r="C896" t="s">
        <v>38</v>
      </c>
      <c r="D896" s="5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5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5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5">
      <c r="A899">
        <v>12029</v>
      </c>
      <c r="B899" t="s">
        <v>36</v>
      </c>
      <c r="C899" t="s">
        <v>38</v>
      </c>
      <c r="D899" s="5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 "Old", IF(L899&gt;=31, "Middle Age", IF(L899&lt;31, "Adolescent", "invalid")))</f>
        <v>Adolescent</v>
      </c>
      <c r="N899" t="s">
        <v>18</v>
      </c>
    </row>
    <row r="900" spans="1:14" x14ac:dyDescent="0.35">
      <c r="A900">
        <v>18066</v>
      </c>
      <c r="B900" t="s">
        <v>37</v>
      </c>
      <c r="C900" t="s">
        <v>38</v>
      </c>
      <c r="D900" s="5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5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5">
      <c r="A902">
        <v>16122</v>
      </c>
      <c r="B902" t="s">
        <v>36</v>
      </c>
      <c r="C902" t="s">
        <v>38</v>
      </c>
      <c r="D902" s="5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5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5">
      <c r="A904">
        <v>28858</v>
      </c>
      <c r="B904" t="s">
        <v>37</v>
      </c>
      <c r="C904" t="s">
        <v>38</v>
      </c>
      <c r="D904" s="5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5">
      <c r="A905">
        <v>14432</v>
      </c>
      <c r="B905" t="s">
        <v>37</v>
      </c>
      <c r="C905" t="s">
        <v>38</v>
      </c>
      <c r="D905" s="5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5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5">
      <c r="A907">
        <v>22050</v>
      </c>
      <c r="B907" t="s">
        <v>37</v>
      </c>
      <c r="C907" t="s">
        <v>38</v>
      </c>
      <c r="D907" s="5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5">
      <c r="A908">
        <v>25394</v>
      </c>
      <c r="B908" t="s">
        <v>36</v>
      </c>
      <c r="C908" t="s">
        <v>38</v>
      </c>
      <c r="D908" s="5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5">
      <c r="A909">
        <v>19747</v>
      </c>
      <c r="B909" t="s">
        <v>36</v>
      </c>
      <c r="C909" t="s">
        <v>38</v>
      </c>
      <c r="D909" s="5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5">
      <c r="A910">
        <v>23195</v>
      </c>
      <c r="B910" t="s">
        <v>37</v>
      </c>
      <c r="C910" t="s">
        <v>38</v>
      </c>
      <c r="D910" s="5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5">
      <c r="A911">
        <v>21695</v>
      </c>
      <c r="B911" t="s">
        <v>36</v>
      </c>
      <c r="C911" t="s">
        <v>38</v>
      </c>
      <c r="D911" s="5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5">
      <c r="A912">
        <v>13934</v>
      </c>
      <c r="B912" t="s">
        <v>36</v>
      </c>
      <c r="C912" t="s">
        <v>38</v>
      </c>
      <c r="D912" s="5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5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5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5">
      <c r="A915">
        <v>28657</v>
      </c>
      <c r="B915" t="s">
        <v>37</v>
      </c>
      <c r="C915" t="s">
        <v>38</v>
      </c>
      <c r="D915" s="5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5">
      <c r="A916">
        <v>21713</v>
      </c>
      <c r="B916" t="s">
        <v>37</v>
      </c>
      <c r="C916" t="s">
        <v>38</v>
      </c>
      <c r="D916" s="5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5">
      <c r="A917">
        <v>21752</v>
      </c>
      <c r="B917" t="s">
        <v>36</v>
      </c>
      <c r="C917" t="s">
        <v>38</v>
      </c>
      <c r="D917" s="5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5">
      <c r="A918">
        <v>27273</v>
      </c>
      <c r="B918" t="s">
        <v>37</v>
      </c>
      <c r="C918" t="s">
        <v>38</v>
      </c>
      <c r="D918" s="5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5">
      <c r="A919">
        <v>22719</v>
      </c>
      <c r="B919" t="s">
        <v>37</v>
      </c>
      <c r="C919" t="s">
        <v>38</v>
      </c>
      <c r="D919" s="5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5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5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5">
      <c r="A922">
        <v>20754</v>
      </c>
      <c r="B922" t="s">
        <v>36</v>
      </c>
      <c r="C922" t="s">
        <v>38</v>
      </c>
      <c r="D922" s="5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5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5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5">
      <c r="A925">
        <v>26728</v>
      </c>
      <c r="B925" t="s">
        <v>37</v>
      </c>
      <c r="C925" t="s">
        <v>38</v>
      </c>
      <c r="D925" s="5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5">
      <c r="A926">
        <v>11090</v>
      </c>
      <c r="B926" t="s">
        <v>37</v>
      </c>
      <c r="C926" t="s">
        <v>38</v>
      </c>
      <c r="D926" s="5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5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5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5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5">
      <c r="A930">
        <v>23449</v>
      </c>
      <c r="B930" t="s">
        <v>36</v>
      </c>
      <c r="C930" t="s">
        <v>38</v>
      </c>
      <c r="D930" s="5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5">
      <c r="A931">
        <v>23459</v>
      </c>
      <c r="B931" t="s">
        <v>36</v>
      </c>
      <c r="C931" t="s">
        <v>38</v>
      </c>
      <c r="D931" s="5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5">
      <c r="A932">
        <v>19543</v>
      </c>
      <c r="B932" t="s">
        <v>36</v>
      </c>
      <c r="C932" t="s">
        <v>38</v>
      </c>
      <c r="D932" s="5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5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5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5">
      <c r="A935">
        <v>11941</v>
      </c>
      <c r="B935" t="s">
        <v>37</v>
      </c>
      <c r="C935" t="s">
        <v>38</v>
      </c>
      <c r="D935" s="5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5">
      <c r="A936">
        <v>14389</v>
      </c>
      <c r="B936" t="s">
        <v>36</v>
      </c>
      <c r="C936" t="s">
        <v>38</v>
      </c>
      <c r="D936" s="5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5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5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5">
      <c r="A939">
        <v>11663</v>
      </c>
      <c r="B939" t="s">
        <v>36</v>
      </c>
      <c r="C939" t="s">
        <v>38</v>
      </c>
      <c r="D939" s="5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5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5">
      <c r="A941">
        <v>23455</v>
      </c>
      <c r="B941" t="s">
        <v>37</v>
      </c>
      <c r="C941" t="s">
        <v>38</v>
      </c>
      <c r="D941" s="5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5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5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5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5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5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5">
      <c r="A947">
        <v>25419</v>
      </c>
      <c r="B947" t="s">
        <v>37</v>
      </c>
      <c r="C947" t="s">
        <v>38</v>
      </c>
      <c r="D947" s="5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5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5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5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5">
      <c r="A951">
        <v>28056</v>
      </c>
      <c r="B951" t="s">
        <v>36</v>
      </c>
      <c r="C951" t="s">
        <v>38</v>
      </c>
      <c r="D951" s="5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5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5">
      <c r="A953">
        <v>22296</v>
      </c>
      <c r="B953" t="s">
        <v>36</v>
      </c>
      <c r="C953" t="s">
        <v>38</v>
      </c>
      <c r="D953" s="5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5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5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5">
      <c r="A956">
        <v>14662</v>
      </c>
      <c r="B956" t="s">
        <v>36</v>
      </c>
      <c r="C956" t="s">
        <v>38</v>
      </c>
      <c r="D956" s="5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5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5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5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5">
      <c r="A960">
        <v>21940</v>
      </c>
      <c r="B960" t="s">
        <v>36</v>
      </c>
      <c r="C960" t="s">
        <v>38</v>
      </c>
      <c r="D960" s="5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5">
      <c r="A961">
        <v>20196</v>
      </c>
      <c r="B961" t="s">
        <v>36</v>
      </c>
      <c r="C961" t="s">
        <v>38</v>
      </c>
      <c r="D961" s="5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5">
      <c r="A962">
        <v>23491</v>
      </c>
      <c r="B962" t="s">
        <v>37</v>
      </c>
      <c r="C962" t="s">
        <v>38</v>
      </c>
      <c r="D962" s="5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5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 "Old", IF(L963&gt;=31, "Middle Age", IF(L963&lt;31, "Adolescent", "invalid")))</f>
        <v>Old</v>
      </c>
      <c r="N963" t="s">
        <v>18</v>
      </c>
    </row>
    <row r="964" spans="1:14" x14ac:dyDescent="0.35">
      <c r="A964">
        <v>16813</v>
      </c>
      <c r="B964" t="s">
        <v>36</v>
      </c>
      <c r="C964" t="s">
        <v>38</v>
      </c>
      <c r="D964" s="5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5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5">
      <c r="A966">
        <v>27434</v>
      </c>
      <c r="B966" t="s">
        <v>37</v>
      </c>
      <c r="C966" t="s">
        <v>38</v>
      </c>
      <c r="D966" s="5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5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5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5">
      <c r="A969">
        <v>19012</v>
      </c>
      <c r="B969" t="s">
        <v>36</v>
      </c>
      <c r="C969" t="s">
        <v>38</v>
      </c>
      <c r="D969" s="5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5">
      <c r="A970">
        <v>18329</v>
      </c>
      <c r="B970" t="s">
        <v>37</v>
      </c>
      <c r="C970" t="s">
        <v>38</v>
      </c>
      <c r="D970" s="5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5">
      <c r="A971">
        <v>29037</v>
      </c>
      <c r="B971" t="s">
        <v>36</v>
      </c>
      <c r="C971" t="s">
        <v>38</v>
      </c>
      <c r="D971" s="5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5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5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5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5">
      <c r="A975">
        <v>11734</v>
      </c>
      <c r="B975" t="s">
        <v>36</v>
      </c>
      <c r="C975" t="s">
        <v>38</v>
      </c>
      <c r="D975" s="5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5">
      <c r="A976">
        <v>17462</v>
      </c>
      <c r="B976" t="s">
        <v>36</v>
      </c>
      <c r="C976" t="s">
        <v>38</v>
      </c>
      <c r="D976" s="5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5">
      <c r="A977">
        <v>20659</v>
      </c>
      <c r="B977" t="s">
        <v>36</v>
      </c>
      <c r="C977" t="s">
        <v>38</v>
      </c>
      <c r="D977" s="5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5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5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5">
      <c r="A980">
        <v>17450</v>
      </c>
      <c r="B980" t="s">
        <v>36</v>
      </c>
      <c r="C980" t="s">
        <v>38</v>
      </c>
      <c r="D980" s="5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5">
      <c r="A981">
        <v>17337</v>
      </c>
      <c r="B981" t="s">
        <v>37</v>
      </c>
      <c r="C981" t="s">
        <v>38</v>
      </c>
      <c r="D981" s="5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5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5">
      <c r="A983">
        <v>15982</v>
      </c>
      <c r="B983" t="s">
        <v>36</v>
      </c>
      <c r="C983" t="s">
        <v>38</v>
      </c>
      <c r="D983" s="5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5">
      <c r="A984">
        <v>28625</v>
      </c>
      <c r="B984" t="s">
        <v>37</v>
      </c>
      <c r="C984" t="s">
        <v>38</v>
      </c>
      <c r="D984" s="5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5">
      <c r="A985">
        <v>11269</v>
      </c>
      <c r="B985" t="s">
        <v>36</v>
      </c>
      <c r="C985" t="s">
        <v>38</v>
      </c>
      <c r="D985" s="5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5">
      <c r="A986">
        <v>25148</v>
      </c>
      <c r="B986" t="s">
        <v>36</v>
      </c>
      <c r="C986" t="s">
        <v>38</v>
      </c>
      <c r="D986" s="5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5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5">
      <c r="A988">
        <v>23704</v>
      </c>
      <c r="B988" t="s">
        <v>37</v>
      </c>
      <c r="C988" t="s">
        <v>38</v>
      </c>
      <c r="D988" s="5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5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5">
      <c r="A990">
        <v>22730</v>
      </c>
      <c r="B990" t="s">
        <v>36</v>
      </c>
      <c r="C990" t="s">
        <v>38</v>
      </c>
      <c r="D990" s="5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5">
      <c r="A991">
        <v>29134</v>
      </c>
      <c r="B991" t="s">
        <v>36</v>
      </c>
      <c r="C991" t="s">
        <v>38</v>
      </c>
      <c r="D991" s="5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5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5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5">
      <c r="A994">
        <v>22864</v>
      </c>
      <c r="B994" t="s">
        <v>36</v>
      </c>
      <c r="C994" t="s">
        <v>38</v>
      </c>
      <c r="D994" s="5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5">
      <c r="A995">
        <v>11292</v>
      </c>
      <c r="B995" t="s">
        <v>37</v>
      </c>
      <c r="C995" t="s">
        <v>38</v>
      </c>
      <c r="D995" s="5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5">
      <c r="A996">
        <v>13466</v>
      </c>
      <c r="B996" t="s">
        <v>36</v>
      </c>
      <c r="C996" t="s">
        <v>38</v>
      </c>
      <c r="D996" s="5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5">
      <c r="A997">
        <v>23731</v>
      </c>
      <c r="B997" t="s">
        <v>36</v>
      </c>
      <c r="C997" t="s">
        <v>38</v>
      </c>
      <c r="D997" s="5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5">
      <c r="A998">
        <v>28672</v>
      </c>
      <c r="B998" t="s">
        <v>37</v>
      </c>
      <c r="C998" t="s">
        <v>38</v>
      </c>
      <c r="D998" s="5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5">
      <c r="A999">
        <v>11809</v>
      </c>
      <c r="B999" t="s">
        <v>36</v>
      </c>
      <c r="C999" t="s">
        <v>38</v>
      </c>
      <c r="D999" s="5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38</v>
      </c>
      <c r="D1000" s="5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38</v>
      </c>
      <c r="D1001" s="5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K1:K1001" xr:uid="{9C69EE9E-2BFD-4C18-A956-4AC04E1571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4360-95EF-42DE-9075-648A97E5DD26}">
  <dimension ref="A11:I44"/>
  <sheetViews>
    <sheetView topLeftCell="D11" zoomScaleNormal="100" workbookViewId="0">
      <selection activeCell="G19" sqref="G19:I23"/>
    </sheetView>
  </sheetViews>
  <sheetFormatPr defaultRowHeight="14.5" x14ac:dyDescent="0.35"/>
  <cols>
    <col min="1" max="1" width="13" bestFit="1" customWidth="1"/>
    <col min="2" max="2" width="13.36328125" bestFit="1" customWidth="1"/>
    <col min="3" max="4" width="12.36328125" bestFit="1" customWidth="1"/>
    <col min="5" max="5" width="26.1796875" bestFit="1" customWidth="1"/>
    <col min="6" max="6" width="31" bestFit="1" customWidth="1"/>
    <col min="7" max="7" width="13.36328125" bestFit="1" customWidth="1"/>
    <col min="8" max="12" width="26.1796875" bestFit="1" customWidth="1"/>
    <col min="13" max="13" width="18.1796875" bestFit="1" customWidth="1"/>
    <col min="14" max="15" width="31" bestFit="1" customWidth="1"/>
    <col min="16" max="16" width="9.54296875" bestFit="1" customWidth="1"/>
    <col min="17" max="23" width="10.54296875" bestFit="1" customWidth="1"/>
    <col min="24" max="24" width="10.7265625" bestFit="1" customWidth="1"/>
  </cols>
  <sheetData>
    <row r="11" spans="1:9" x14ac:dyDescent="0.35">
      <c r="B11" s="7"/>
    </row>
    <row r="12" spans="1:9" x14ac:dyDescent="0.35">
      <c r="A12" s="3" t="s">
        <v>40</v>
      </c>
      <c r="B12" t="s">
        <v>74</v>
      </c>
      <c r="D12" s="3" t="s">
        <v>40</v>
      </c>
      <c r="E12" t="s">
        <v>54</v>
      </c>
      <c r="G12" s="3" t="s">
        <v>40</v>
      </c>
      <c r="H12" t="s">
        <v>83</v>
      </c>
      <c r="I12" t="s">
        <v>54</v>
      </c>
    </row>
    <row r="13" spans="1:9" x14ac:dyDescent="0.35">
      <c r="A13" s="4" t="s">
        <v>39</v>
      </c>
      <c r="B13" s="5">
        <v>26690000</v>
      </c>
      <c r="D13" s="4" t="s">
        <v>13</v>
      </c>
      <c r="E13">
        <v>306</v>
      </c>
      <c r="G13" s="4" t="s">
        <v>51</v>
      </c>
      <c r="H13">
        <v>25</v>
      </c>
      <c r="I13">
        <v>110</v>
      </c>
    </row>
    <row r="14" spans="1:9" x14ac:dyDescent="0.35">
      <c r="A14" s="4" t="s">
        <v>38</v>
      </c>
      <c r="B14" s="5">
        <v>29670000</v>
      </c>
      <c r="D14" s="4" t="s">
        <v>31</v>
      </c>
      <c r="E14">
        <v>174</v>
      </c>
      <c r="G14" s="4" t="s">
        <v>52</v>
      </c>
      <c r="H14">
        <v>1289</v>
      </c>
      <c r="I14">
        <v>701</v>
      </c>
    </row>
    <row r="15" spans="1:9" x14ac:dyDescent="0.35">
      <c r="A15" s="4" t="s">
        <v>41</v>
      </c>
      <c r="B15" s="5">
        <v>56360000</v>
      </c>
      <c r="D15" s="4" t="s">
        <v>27</v>
      </c>
      <c r="E15">
        <v>179</v>
      </c>
      <c r="G15" s="4" t="s">
        <v>53</v>
      </c>
      <c r="H15">
        <v>584</v>
      </c>
      <c r="I15">
        <v>189</v>
      </c>
    </row>
    <row r="16" spans="1:9" x14ac:dyDescent="0.35">
      <c r="D16" s="4" t="s">
        <v>19</v>
      </c>
      <c r="E16">
        <v>265</v>
      </c>
      <c r="G16" s="4" t="s">
        <v>41</v>
      </c>
      <c r="H16">
        <v>1898</v>
      </c>
      <c r="I16">
        <v>1000</v>
      </c>
    </row>
    <row r="17" spans="1:9" x14ac:dyDescent="0.35">
      <c r="D17" s="4" t="s">
        <v>29</v>
      </c>
      <c r="E17">
        <v>76</v>
      </c>
    </row>
    <row r="18" spans="1:9" x14ac:dyDescent="0.35">
      <c r="A18" s="3" t="s">
        <v>40</v>
      </c>
      <c r="B18" t="s">
        <v>74</v>
      </c>
      <c r="D18" s="4" t="s">
        <v>41</v>
      </c>
      <c r="E18">
        <v>1000</v>
      </c>
    </row>
    <row r="19" spans="1:9" x14ac:dyDescent="0.35">
      <c r="A19" s="4" t="s">
        <v>51</v>
      </c>
      <c r="B19" s="5">
        <v>3660000</v>
      </c>
      <c r="G19" s="3" t="s">
        <v>40</v>
      </c>
      <c r="H19" t="s">
        <v>73</v>
      </c>
      <c r="I19" t="s">
        <v>72</v>
      </c>
    </row>
    <row r="20" spans="1:9" x14ac:dyDescent="0.35">
      <c r="A20" s="4" t="s">
        <v>52</v>
      </c>
      <c r="B20" s="5">
        <v>41420000</v>
      </c>
      <c r="G20" s="4" t="s">
        <v>51</v>
      </c>
      <c r="H20">
        <v>151</v>
      </c>
      <c r="I20">
        <v>110</v>
      </c>
    </row>
    <row r="21" spans="1:9" x14ac:dyDescent="0.35">
      <c r="A21" s="4" t="s">
        <v>53</v>
      </c>
      <c r="B21" s="5">
        <v>11280000</v>
      </c>
      <c r="D21" s="3" t="s">
        <v>40</v>
      </c>
      <c r="E21" t="s">
        <v>54</v>
      </c>
      <c r="G21" s="4" t="s">
        <v>52</v>
      </c>
      <c r="H21">
        <v>943</v>
      </c>
      <c r="I21">
        <v>701</v>
      </c>
    </row>
    <row r="22" spans="1:9" x14ac:dyDescent="0.35">
      <c r="A22" s="4" t="s">
        <v>41</v>
      </c>
      <c r="B22" s="5">
        <v>56360000</v>
      </c>
      <c r="D22" s="4" t="s">
        <v>17</v>
      </c>
      <c r="E22">
        <v>300</v>
      </c>
      <c r="G22" s="4" t="s">
        <v>53</v>
      </c>
      <c r="H22">
        <v>348</v>
      </c>
      <c r="I22">
        <v>189</v>
      </c>
    </row>
    <row r="23" spans="1:9" x14ac:dyDescent="0.35">
      <c r="D23" s="4" t="s">
        <v>32</v>
      </c>
      <c r="E23">
        <v>508</v>
      </c>
      <c r="G23" s="4" t="s">
        <v>41</v>
      </c>
      <c r="H23">
        <v>1442</v>
      </c>
      <c r="I23">
        <v>1000</v>
      </c>
    </row>
    <row r="24" spans="1:9" x14ac:dyDescent="0.35">
      <c r="A24" s="3" t="s">
        <v>40</v>
      </c>
      <c r="B24" t="s">
        <v>74</v>
      </c>
      <c r="D24" s="4" t="s">
        <v>24</v>
      </c>
      <c r="E24">
        <v>192</v>
      </c>
    </row>
    <row r="25" spans="1:9" x14ac:dyDescent="0.35">
      <c r="A25" s="4" t="s">
        <v>20</v>
      </c>
      <c r="B25" s="5">
        <v>5500000</v>
      </c>
      <c r="D25" s="4" t="s">
        <v>41</v>
      </c>
      <c r="E25">
        <v>1000</v>
      </c>
    </row>
    <row r="26" spans="1:9" x14ac:dyDescent="0.35">
      <c r="A26" s="4" t="s">
        <v>28</v>
      </c>
      <c r="B26" s="5">
        <v>14990000</v>
      </c>
    </row>
    <row r="27" spans="1:9" x14ac:dyDescent="0.35">
      <c r="A27" s="4" t="s">
        <v>25</v>
      </c>
      <c r="B27" s="5">
        <v>1990000</v>
      </c>
      <c r="G27" s="33"/>
      <c r="H27" s="34"/>
      <c r="I27" s="35"/>
    </row>
    <row r="28" spans="1:9" x14ac:dyDescent="0.35">
      <c r="A28" s="4" t="s">
        <v>21</v>
      </c>
      <c r="B28" s="5">
        <v>20720000</v>
      </c>
      <c r="D28" s="3" t="s">
        <v>40</v>
      </c>
      <c r="E28" t="s">
        <v>54</v>
      </c>
      <c r="G28" s="36"/>
      <c r="H28" s="37"/>
      <c r="I28" s="38"/>
    </row>
    <row r="29" spans="1:9" x14ac:dyDescent="0.35">
      <c r="A29" s="4" t="s">
        <v>14</v>
      </c>
      <c r="B29" s="5">
        <v>13160000</v>
      </c>
      <c r="D29" s="4" t="s">
        <v>18</v>
      </c>
      <c r="E29">
        <v>519</v>
      </c>
      <c r="G29" s="36"/>
      <c r="H29" s="37"/>
      <c r="I29" s="38"/>
    </row>
    <row r="30" spans="1:9" x14ac:dyDescent="0.35">
      <c r="A30" s="4" t="s">
        <v>41</v>
      </c>
      <c r="B30" s="5">
        <v>56360000</v>
      </c>
      <c r="D30" s="4" t="s">
        <v>15</v>
      </c>
      <c r="E30">
        <v>481</v>
      </c>
      <c r="G30" s="36"/>
      <c r="H30" s="37"/>
      <c r="I30" s="38"/>
    </row>
    <row r="31" spans="1:9" x14ac:dyDescent="0.35">
      <c r="D31" s="4" t="s">
        <v>41</v>
      </c>
      <c r="E31">
        <v>1000</v>
      </c>
      <c r="G31" s="36"/>
      <c r="H31" s="37"/>
      <c r="I31" s="38"/>
    </row>
    <row r="32" spans="1:9" x14ac:dyDescent="0.35">
      <c r="G32" s="36"/>
      <c r="H32" s="37"/>
      <c r="I32" s="38"/>
    </row>
    <row r="33" spans="1:9" x14ac:dyDescent="0.35">
      <c r="G33" s="36"/>
      <c r="H33" s="37"/>
      <c r="I33" s="38"/>
    </row>
    <row r="34" spans="1:9" x14ac:dyDescent="0.35">
      <c r="A34" s="3" t="s">
        <v>40</v>
      </c>
      <c r="B34" t="s">
        <v>86</v>
      </c>
      <c r="G34" s="36"/>
      <c r="H34" s="37"/>
      <c r="I34" s="38"/>
    </row>
    <row r="35" spans="1:9" x14ac:dyDescent="0.35">
      <c r="A35" s="4" t="s">
        <v>18</v>
      </c>
      <c r="B35" s="5">
        <v>54874.759152215796</v>
      </c>
      <c r="G35" s="36"/>
      <c r="H35" s="37"/>
      <c r="I35" s="38"/>
    </row>
    <row r="36" spans="1:9" x14ac:dyDescent="0.35">
      <c r="A36" s="4" t="s">
        <v>15</v>
      </c>
      <c r="B36" s="5">
        <v>57962.577962577961</v>
      </c>
      <c r="G36" s="36"/>
      <c r="H36" s="37"/>
      <c r="I36" s="38"/>
    </row>
    <row r="37" spans="1:9" x14ac:dyDescent="0.35">
      <c r="A37" s="4" t="s">
        <v>41</v>
      </c>
      <c r="B37" s="5">
        <v>56360</v>
      </c>
      <c r="G37" s="36"/>
      <c r="H37" s="37"/>
      <c r="I37" s="38"/>
    </row>
    <row r="38" spans="1:9" x14ac:dyDescent="0.35">
      <c r="G38" s="36"/>
      <c r="H38" s="37"/>
      <c r="I38" s="38"/>
    </row>
    <row r="39" spans="1:9" x14ac:dyDescent="0.35">
      <c r="G39" s="36"/>
      <c r="H39" s="37"/>
      <c r="I39" s="38"/>
    </row>
    <row r="40" spans="1:9" x14ac:dyDescent="0.35">
      <c r="G40" s="36"/>
      <c r="H40" s="37"/>
      <c r="I40" s="38"/>
    </row>
    <row r="41" spans="1:9" x14ac:dyDescent="0.35">
      <c r="G41" s="36"/>
      <c r="H41" s="37"/>
      <c r="I41" s="38"/>
    </row>
    <row r="42" spans="1:9" x14ac:dyDescent="0.35">
      <c r="G42" s="36"/>
      <c r="H42" s="37"/>
      <c r="I42" s="38"/>
    </row>
    <row r="43" spans="1:9" x14ac:dyDescent="0.35">
      <c r="G43" s="36"/>
      <c r="H43" s="37"/>
      <c r="I43" s="38"/>
    </row>
    <row r="44" spans="1:9" x14ac:dyDescent="0.35">
      <c r="G44" s="39"/>
      <c r="H44" s="40"/>
      <c r="I44" s="41"/>
    </row>
  </sheetData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AAFD-3AA6-40B3-998B-D98F4541D863}">
  <dimension ref="A1:G26"/>
  <sheetViews>
    <sheetView topLeftCell="A8" workbookViewId="0">
      <selection activeCell="A17" sqref="A17:B22"/>
    </sheetView>
  </sheetViews>
  <sheetFormatPr defaultRowHeight="14.5" x14ac:dyDescent="0.35"/>
  <cols>
    <col min="1" max="1" width="16" bestFit="1" customWidth="1"/>
    <col min="2" max="2" width="18.1796875" bestFit="1" customWidth="1"/>
    <col min="5" max="5" width="18.1796875" bestFit="1" customWidth="1"/>
    <col min="6" max="7" width="18.26953125" bestFit="1" customWidth="1"/>
  </cols>
  <sheetData>
    <row r="1" spans="1:7" x14ac:dyDescent="0.35">
      <c r="A1" s="29" t="s">
        <v>2</v>
      </c>
      <c r="B1" s="29" t="s">
        <v>3</v>
      </c>
      <c r="E1" s="29" t="s">
        <v>10</v>
      </c>
      <c r="F1" s="29" t="s">
        <v>81</v>
      </c>
    </row>
    <row r="2" spans="1:7" x14ac:dyDescent="0.35">
      <c r="A2" t="s">
        <v>38</v>
      </c>
      <c r="B2" s="32">
        <f>GETPIVOTDATA("Income",'pivot tables'!$A$12,"Gender","Male")</f>
        <v>29670000</v>
      </c>
      <c r="E2" t="s">
        <v>17</v>
      </c>
      <c r="F2">
        <f>GETPIVOTDATA("Purchased insurance",'pivot tables'!$D$21,"Region","Europe")</f>
        <v>300</v>
      </c>
    </row>
    <row r="3" spans="1:7" x14ac:dyDescent="0.35">
      <c r="A3" t="s">
        <v>39</v>
      </c>
      <c r="B3" s="5">
        <f>GETPIVOTDATA("Income",'pivot tables'!$A$12,"Gender","Female")</f>
        <v>26690000</v>
      </c>
      <c r="E3" t="s">
        <v>32</v>
      </c>
      <c r="F3">
        <f>GETPIVOTDATA("Purchased insurance",'pivot tables'!$D$21,"Region","North America")</f>
        <v>508</v>
      </c>
    </row>
    <row r="4" spans="1:7" x14ac:dyDescent="0.35">
      <c r="E4" t="s">
        <v>24</v>
      </c>
      <c r="F4">
        <f>GETPIVOTDATA("Purchased insurance",'pivot tables'!$D$21,"Region","Pacific")</f>
        <v>192</v>
      </c>
    </row>
    <row r="5" spans="1:7" x14ac:dyDescent="0.35">
      <c r="A5" s="29" t="s">
        <v>11</v>
      </c>
      <c r="B5" s="29" t="s">
        <v>3</v>
      </c>
    </row>
    <row r="6" spans="1:7" x14ac:dyDescent="0.35">
      <c r="A6" t="s">
        <v>51</v>
      </c>
      <c r="B6">
        <f>GETPIVOTDATA("Income",'pivot tables'!$A$18,"Age(Risk factor)","Adolescent")</f>
        <v>3660000</v>
      </c>
    </row>
    <row r="7" spans="1:7" x14ac:dyDescent="0.35">
      <c r="A7" t="s">
        <v>75</v>
      </c>
      <c r="B7">
        <f>GETPIVOTDATA("Income",'pivot tables'!$A$18,"Age(Risk factor)","Middle Age")</f>
        <v>41420000</v>
      </c>
      <c r="E7" s="29" t="s">
        <v>11</v>
      </c>
      <c r="F7" s="29" t="s">
        <v>44</v>
      </c>
      <c r="G7" s="29" t="s">
        <v>82</v>
      </c>
    </row>
    <row r="8" spans="1:7" x14ac:dyDescent="0.35">
      <c r="A8" t="s">
        <v>76</v>
      </c>
      <c r="B8">
        <f>GETPIVOTDATA("Income",'pivot tables'!$A$18,"Age(Risk factor)","Old")</f>
        <v>11280000</v>
      </c>
      <c r="E8" t="s">
        <v>51</v>
      </c>
      <c r="F8">
        <f>GETPIVOTDATA("Sum of Dependent",'pivot tables'!$G$12,"Age(Risk factor)","Adolescent")</f>
        <v>25</v>
      </c>
      <c r="G8">
        <f>GETPIVOTDATA("Count of Purchased insurance",'pivot tables'!$G$12,"Age(Risk factor)","Adolescent")</f>
        <v>110</v>
      </c>
    </row>
    <row r="9" spans="1:7" x14ac:dyDescent="0.35">
      <c r="E9" t="s">
        <v>75</v>
      </c>
      <c r="F9">
        <f>GETPIVOTDATA("Sum of Dependent",'pivot tables'!$G$12,"Age(Risk factor)","Middle Age")</f>
        <v>1289</v>
      </c>
      <c r="G9">
        <f>GETPIVOTDATA("Count of Purchased insurance",'pivot tables'!$G$12,"Age(Risk factor)","Middle Age")</f>
        <v>701</v>
      </c>
    </row>
    <row r="10" spans="1:7" x14ac:dyDescent="0.35">
      <c r="A10" s="29" t="s">
        <v>6</v>
      </c>
      <c r="B10" s="29" t="s">
        <v>3</v>
      </c>
      <c r="E10" t="s">
        <v>76</v>
      </c>
      <c r="F10">
        <f>GETPIVOTDATA("Sum of Dependent",'pivot tables'!$G$12,"Age(Risk factor)","Old")</f>
        <v>584</v>
      </c>
      <c r="G10">
        <f>GETPIVOTDATA("Count of Purchased insurance",'pivot tables'!$G$12,"Age(Risk factor)","Old")</f>
        <v>189</v>
      </c>
    </row>
    <row r="11" spans="1:7" x14ac:dyDescent="0.35">
      <c r="A11" t="s">
        <v>20</v>
      </c>
      <c r="B11">
        <f>GETPIVOTDATA("Income",'pivot tables'!$A$24,"Occupation(Risk class)","Clerical")</f>
        <v>5500000</v>
      </c>
    </row>
    <row r="12" spans="1:7" x14ac:dyDescent="0.35">
      <c r="A12" t="s">
        <v>28</v>
      </c>
      <c r="B12">
        <f>GETPIVOTDATA("Income",'pivot tables'!$A$24,"Occupation(Risk class)","Management")</f>
        <v>14990000</v>
      </c>
    </row>
    <row r="13" spans="1:7" x14ac:dyDescent="0.35">
      <c r="A13" t="s">
        <v>21</v>
      </c>
      <c r="B13">
        <f>GETPIVOTDATA("Income",'pivot tables'!$A$24,"Occupation(Risk class)","Professional")</f>
        <v>20720000</v>
      </c>
      <c r="E13" s="29" t="s">
        <v>11</v>
      </c>
      <c r="F13" s="29" t="s">
        <v>84</v>
      </c>
    </row>
    <row r="14" spans="1:7" x14ac:dyDescent="0.35">
      <c r="A14" t="s">
        <v>77</v>
      </c>
      <c r="B14">
        <f>GETPIVOTDATA("Income",'pivot tables'!$A$24,"Occupation(Risk class)","Skilled Manual")</f>
        <v>13160000</v>
      </c>
      <c r="E14" t="s">
        <v>51</v>
      </c>
      <c r="F14">
        <f>GETPIVOTDATA("Count of Home Ownership status",'pivot tables'!$G$19,"Age(Risk factor)","Adolescent")+GETPIVOTDATA("Sum of Assets Owned(Cars)",'pivot tables'!$G$19,"Age(Risk factor)","Adolescent")</f>
        <v>261</v>
      </c>
    </row>
    <row r="15" spans="1:7" x14ac:dyDescent="0.35">
      <c r="A15" t="s">
        <v>25</v>
      </c>
      <c r="B15">
        <f>GETPIVOTDATA("Income",'pivot tables'!$A$24,"Occupation(Risk class)","Manual")</f>
        <v>1990000</v>
      </c>
      <c r="E15" t="s">
        <v>75</v>
      </c>
      <c r="F15">
        <f>GETPIVOTDATA("Count of Home Ownership status",'pivot tables'!$G$19,"Age(Risk factor)","Middle Age")+GETPIVOTDATA("Sum of Assets Owned(Cars)",'pivot tables'!$G$19,"Age(Risk factor)","Middle Age")</f>
        <v>1644</v>
      </c>
    </row>
    <row r="16" spans="1:7" x14ac:dyDescent="0.35">
      <c r="E16" t="s">
        <v>76</v>
      </c>
      <c r="F16">
        <f>GETPIVOTDATA("Count of Home Ownership status",'pivot tables'!$G$19,"Age(Risk factor)","Old")+GETPIVOTDATA("Sum of Assets Owned(Cars)",'pivot tables'!$G$19,"Age(Risk factor)","Old")</f>
        <v>537</v>
      </c>
    </row>
    <row r="17" spans="1:6" x14ac:dyDescent="0.35">
      <c r="A17" s="29" t="s">
        <v>49</v>
      </c>
      <c r="B17" s="29" t="s">
        <v>46</v>
      </c>
    </row>
    <row r="18" spans="1:6" x14ac:dyDescent="0.35">
      <c r="A18" t="s">
        <v>13</v>
      </c>
      <c r="B18">
        <f>GETPIVOTDATA("Purchased insurance",'pivot tables'!$D$12,"Education level","Bachelors")</f>
        <v>306</v>
      </c>
      <c r="E18" t="s">
        <v>46</v>
      </c>
      <c r="F18" t="s">
        <v>85</v>
      </c>
    </row>
    <row r="19" spans="1:6" x14ac:dyDescent="0.35">
      <c r="A19" t="s">
        <v>78</v>
      </c>
      <c r="B19">
        <f>GETPIVOTDATA("Purchased insurance",'pivot tables'!$D$12,"Education level","Graduate Degree")</f>
        <v>174</v>
      </c>
      <c r="E19" t="s">
        <v>18</v>
      </c>
      <c r="F19" s="30">
        <f>GETPIVOTDATA("Purchased insurance",'pivot tables'!$D$28,"Purchased insurance","No")/1000</f>
        <v>0.51900000000000002</v>
      </c>
    </row>
    <row r="20" spans="1:6" x14ac:dyDescent="0.35">
      <c r="A20" t="s">
        <v>27</v>
      </c>
      <c r="B20">
        <f>GETPIVOTDATA("Purchased insurance",'pivot tables'!$D$12,"Education level","High School")</f>
        <v>179</v>
      </c>
      <c r="E20" t="s">
        <v>15</v>
      </c>
      <c r="F20" s="30">
        <f>GETPIVOTDATA("Purchased insurance",'pivot tables'!$D$28,"Purchased insurance","Yes")/1000</f>
        <v>0.48099999999999998</v>
      </c>
    </row>
    <row r="21" spans="1:6" x14ac:dyDescent="0.35">
      <c r="A21" t="s">
        <v>79</v>
      </c>
      <c r="B21">
        <f>GETPIVOTDATA("Purchased insurance",'pivot tables'!$D$12,"Education level","Partial College")</f>
        <v>265</v>
      </c>
    </row>
    <row r="22" spans="1:6" x14ac:dyDescent="0.35">
      <c r="A22" t="s">
        <v>80</v>
      </c>
      <c r="B22">
        <f>GETPIVOTDATA("Purchased insurance",'pivot tables'!$D$12,"Education level","Partial High School")</f>
        <v>76</v>
      </c>
    </row>
    <row r="24" spans="1:6" x14ac:dyDescent="0.35">
      <c r="A24" t="s">
        <v>81</v>
      </c>
      <c r="B24" t="s">
        <v>87</v>
      </c>
    </row>
    <row r="25" spans="1:6" x14ac:dyDescent="0.35">
      <c r="A25" t="s">
        <v>18</v>
      </c>
      <c r="B25" s="5">
        <f>GETPIVOTDATA("Income",'pivot tables'!$A$34,"Purchased insurance","No")</f>
        <v>54874.759152215796</v>
      </c>
    </row>
    <row r="26" spans="1:6" x14ac:dyDescent="0.35">
      <c r="A26" t="s">
        <v>15</v>
      </c>
      <c r="B26" s="5">
        <f>GETPIVOTDATA("Income",'pivot tables'!$A$34,"Purchased insurance","Yes")</f>
        <v>57962.577962577961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A3CA-83C8-4A2B-A974-57E7EA5FD6C8}">
  <dimension ref="O20"/>
  <sheetViews>
    <sheetView showRowColHeaders="0" tabSelected="1" topLeftCell="A10" workbookViewId="0">
      <selection activeCell="N17" sqref="N17"/>
    </sheetView>
  </sheetViews>
  <sheetFormatPr defaultRowHeight="14.5" x14ac:dyDescent="0.35"/>
  <cols>
    <col min="1" max="16384" width="8.7265625" style="8"/>
  </cols>
  <sheetData>
    <row r="20" spans="15:15" x14ac:dyDescent="0.35">
      <c r="O20" s="3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4A41-A6D8-4E70-A756-822BD25EEED4}">
  <dimension ref="A1:B27"/>
  <sheetViews>
    <sheetView workbookViewId="0">
      <selection activeCell="B15" sqref="B15"/>
    </sheetView>
  </sheetViews>
  <sheetFormatPr defaultRowHeight="14.5" x14ac:dyDescent="0.35"/>
  <sheetData>
    <row r="1" spans="1:2" x14ac:dyDescent="0.35">
      <c r="B1" s="8" t="s">
        <v>71</v>
      </c>
    </row>
    <row r="2" spans="1:2" x14ac:dyDescent="0.35">
      <c r="B2" s="9">
        <v>249987</v>
      </c>
    </row>
    <row r="3" spans="1:2" x14ac:dyDescent="0.35">
      <c r="B3" s="11" t="s">
        <v>55</v>
      </c>
    </row>
    <row r="4" spans="1:2" x14ac:dyDescent="0.35">
      <c r="B4" s="10" t="s">
        <v>56</v>
      </c>
    </row>
    <row r="6" spans="1:2" x14ac:dyDescent="0.35">
      <c r="A6" t="s">
        <v>70</v>
      </c>
      <c r="B6" s="12" t="s">
        <v>57</v>
      </c>
    </row>
    <row r="8" spans="1:2" x14ac:dyDescent="0.35">
      <c r="B8" s="13">
        <v>68275</v>
      </c>
    </row>
    <row r="9" spans="1:2" x14ac:dyDescent="0.35">
      <c r="B9" s="14">
        <v>6966</v>
      </c>
    </row>
    <row r="11" spans="1:2" x14ac:dyDescent="0.35">
      <c r="A11" t="s">
        <v>70</v>
      </c>
      <c r="B11" s="15" t="s">
        <v>58</v>
      </c>
    </row>
    <row r="12" spans="1:2" x14ac:dyDescent="0.35">
      <c r="B12" s="16" t="s">
        <v>59</v>
      </c>
    </row>
    <row r="13" spans="1:2" x14ac:dyDescent="0.35">
      <c r="B13" s="17" t="s">
        <v>60</v>
      </c>
    </row>
    <row r="14" spans="1:2" x14ac:dyDescent="0.35">
      <c r="B14" s="18" t="s">
        <v>61</v>
      </c>
    </row>
    <row r="15" spans="1:2" x14ac:dyDescent="0.35">
      <c r="B15" s="19" t="s">
        <v>62</v>
      </c>
    </row>
    <row r="17" spans="1:2" x14ac:dyDescent="0.35">
      <c r="B17" s="20" t="s">
        <v>63</v>
      </c>
    </row>
    <row r="18" spans="1:2" x14ac:dyDescent="0.35">
      <c r="B18" s="21">
        <v>156082</v>
      </c>
    </row>
    <row r="20" spans="1:2" x14ac:dyDescent="0.35">
      <c r="B20" s="22" t="s">
        <v>64</v>
      </c>
    </row>
    <row r="21" spans="1:2" x14ac:dyDescent="0.35">
      <c r="B21" s="23">
        <v>8377</v>
      </c>
    </row>
    <row r="22" spans="1:2" x14ac:dyDescent="0.35">
      <c r="B22" s="24" t="s">
        <v>65</v>
      </c>
    </row>
    <row r="23" spans="1:2" x14ac:dyDescent="0.35">
      <c r="B23" s="25" t="s">
        <v>66</v>
      </c>
    </row>
    <row r="24" spans="1:2" x14ac:dyDescent="0.35">
      <c r="B24" s="26">
        <v>99699</v>
      </c>
    </row>
    <row r="26" spans="1:2" x14ac:dyDescent="0.35">
      <c r="A26" t="s">
        <v>69</v>
      </c>
      <c r="B26" s="27" t="s">
        <v>67</v>
      </c>
    </row>
    <row r="27" spans="1:2" x14ac:dyDescent="0.35">
      <c r="B27" s="2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Insurance Buyers</vt:lpstr>
      <vt:lpstr>working sheet</vt:lpstr>
      <vt:lpstr>pivot tables</vt:lpstr>
      <vt:lpstr>processing</vt:lpstr>
      <vt:lpstr>dashboard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Clever Kutsvara</dc:creator>
  <cp:lastModifiedBy>Trevor Clever Kutsvara</cp:lastModifiedBy>
  <dcterms:created xsi:type="dcterms:W3CDTF">2022-03-18T02:50:57Z</dcterms:created>
  <dcterms:modified xsi:type="dcterms:W3CDTF">2026-09-11T11:52:12Z</dcterms:modified>
</cp:coreProperties>
</file>